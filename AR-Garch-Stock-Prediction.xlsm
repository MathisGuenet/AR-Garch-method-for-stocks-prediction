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\OneDrive - De Vinci\ESILV\semestre 7\VBA\Project_Guenet_Di-Betta\"/>
    </mc:Choice>
  </mc:AlternateContent>
  <xr:revisionPtr revIDLastSave="450618" documentId="13_ncr:1_{584660CC-8684-4B3C-BCBC-02CFA5EA4A58}" xr6:coauthVersionLast="45" xr6:coauthVersionMax="45" xr10:uidLastSave="{1E84BC4A-B5D6-4010-92C5-0C10D5D83CC5}"/>
  <bookViews>
    <workbookView xWindow="-120" yWindow="-120" windowWidth="29040" windowHeight="15840" xr2:uid="{F63F5E6D-26AD-4779-B206-BE1642F01BDB}"/>
  </bookViews>
  <sheets>
    <sheet name="data" sheetId="1" r:id="rId1"/>
  </sheets>
  <definedNames>
    <definedName name="solver_adj" localSheetId="0" hidden="1">data!$M$10,data!$M$12:$M$13,data!$M$14,data!$M$16:$M$18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data!$M$10</definedName>
    <definedName name="solver_lhs10" localSheetId="0" hidden="1">data!$M$20</definedName>
    <definedName name="solver_lhs11" localSheetId="0" hidden="1">data!$M$20</definedName>
    <definedName name="solver_lhs12" localSheetId="0" hidden="1">data!$M$21</definedName>
    <definedName name="solver_lhs13" localSheetId="0" hidden="1">data!$M$21</definedName>
    <definedName name="solver_lhs14" localSheetId="0" hidden="1">data!$M$20</definedName>
    <definedName name="solver_lhs15" localSheetId="0" hidden="1">data!$M$20</definedName>
    <definedName name="solver_lhs16" localSheetId="0" hidden="1">data!$M$21</definedName>
    <definedName name="solver_lhs17" localSheetId="0" hidden="1">data!$M$21</definedName>
    <definedName name="solver_lhs18" localSheetId="0" hidden="1">data!$M$21</definedName>
    <definedName name="solver_lhs19" localSheetId="0" hidden="1">data!$M$21</definedName>
    <definedName name="solver_lhs2" localSheetId="0" hidden="1">data!$M$21</definedName>
    <definedName name="solver_lhs20" localSheetId="0" hidden="1">data!$M$22</definedName>
    <definedName name="solver_lhs21" localSheetId="0" hidden="1">data!$M$22</definedName>
    <definedName name="solver_lhs22" localSheetId="0" hidden="1">data!$M$22</definedName>
    <definedName name="solver_lhs23" localSheetId="0" hidden="1">data!$M$22</definedName>
    <definedName name="solver_lhs24" localSheetId="0" hidden="1">data!$M$22</definedName>
    <definedName name="solver_lhs25" localSheetId="0" hidden="1">data!$M$22</definedName>
    <definedName name="solver_lhs26" localSheetId="0" hidden="1">data!$M$22</definedName>
    <definedName name="solver_lhs27" localSheetId="0" hidden="1">data!$M$22</definedName>
    <definedName name="solver_lhs28" localSheetId="0" hidden="1">data!$M$20</definedName>
    <definedName name="solver_lhs29" localSheetId="0" hidden="1">data!$M$20</definedName>
    <definedName name="solver_lhs3" localSheetId="0" hidden="1">data!$M$21</definedName>
    <definedName name="solver_lhs30" localSheetId="0" hidden="1">data!$M$20</definedName>
    <definedName name="solver_lhs31" localSheetId="0" hidden="1">data!$M$20</definedName>
    <definedName name="solver_lhs32" localSheetId="0" hidden="1">data!$M$22</definedName>
    <definedName name="solver_lhs33" localSheetId="0" hidden="1">data!$M$22</definedName>
    <definedName name="solver_lhs34" localSheetId="0" hidden="1">data!$M$21</definedName>
    <definedName name="solver_lhs35" localSheetId="0" hidden="1">data!$M$21</definedName>
    <definedName name="solver_lhs36" localSheetId="0" hidden="1">data!$M$22</definedName>
    <definedName name="solver_lhs37" localSheetId="0" hidden="1">data!$M$22</definedName>
    <definedName name="solver_lhs38" localSheetId="0" hidden="1">data!$M$22</definedName>
    <definedName name="solver_lhs39" localSheetId="0" hidden="1">data!$M$22</definedName>
    <definedName name="solver_lhs4" localSheetId="0" hidden="1">data!$M$21</definedName>
    <definedName name="solver_lhs40" localSheetId="0" hidden="1">data!$M$22</definedName>
    <definedName name="solver_lhs41" localSheetId="0" hidden="1">data!$M$22</definedName>
    <definedName name="solver_lhs5" localSheetId="0" hidden="1">data!$M$21</definedName>
    <definedName name="solver_lhs6" localSheetId="0" hidden="1">data!$M$21</definedName>
    <definedName name="solver_lhs7" localSheetId="0" hidden="1">data!$M$21</definedName>
    <definedName name="solver_lhs8" localSheetId="0" hidden="1">data!$M$21</definedName>
    <definedName name="solver_lhs9" localSheetId="0" hidden="1">data!$M$21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41</definedName>
    <definedName name="solver_nwt" localSheetId="0" hidden="1">1</definedName>
    <definedName name="solver_opt" localSheetId="0" hidden="1">data!$M$23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3</definedName>
    <definedName name="solver_rel3" localSheetId="0" hidden="1">3</definedName>
    <definedName name="solver_rel30" localSheetId="0" hidden="1">1</definedName>
    <definedName name="solver_rel31" localSheetId="0" hidden="1">3</definedName>
    <definedName name="solver_rel32" localSheetId="0" hidden="1">1</definedName>
    <definedName name="solver_rel33" localSheetId="0" hidden="1">3</definedName>
    <definedName name="solver_rel34" localSheetId="0" hidden="1">1</definedName>
    <definedName name="solver_rel35" localSheetId="0" hidden="1">3</definedName>
    <definedName name="solver_rel36" localSheetId="0" hidden="1">1</definedName>
    <definedName name="solver_rel37" localSheetId="0" hidden="1">3</definedName>
    <definedName name="solver_rel38" localSheetId="0" hidden="1">1</definedName>
    <definedName name="solver_rel39" localSheetId="0" hidden="1">3</definedName>
    <definedName name="solver_rel4" localSheetId="0" hidden="1">1</definedName>
    <definedName name="solver_rel40" localSheetId="0" hidden="1">1</definedName>
    <definedName name="solver_rel41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0.000001</definedName>
    <definedName name="solver_rhs10" localSheetId="0" hidden="1">1.05</definedName>
    <definedName name="solver_rhs11" localSheetId="0" hidden="1">0.95</definedName>
    <definedName name="solver_rhs12" localSheetId="0" hidden="1">1.05</definedName>
    <definedName name="solver_rhs13" localSheetId="0" hidden="1">0.95</definedName>
    <definedName name="solver_rhs14" localSheetId="0" hidden="1">1.05</definedName>
    <definedName name="solver_rhs15" localSheetId="0" hidden="1">0.95</definedName>
    <definedName name="solver_rhs16" localSheetId="0" hidden="1">1.05</definedName>
    <definedName name="solver_rhs17" localSheetId="0" hidden="1">0.95</definedName>
    <definedName name="solver_rhs18" localSheetId="0" hidden="1">1.05</definedName>
    <definedName name="solver_rhs19" localSheetId="0" hidden="1">0.95</definedName>
    <definedName name="solver_rhs2" localSheetId="0" hidden="1">1.05</definedName>
    <definedName name="solver_rhs20" localSheetId="0" hidden="1">1.05</definedName>
    <definedName name="solver_rhs21" localSheetId="0" hidden="1">0.95</definedName>
    <definedName name="solver_rhs22" localSheetId="0" hidden="1">1.05</definedName>
    <definedName name="solver_rhs23" localSheetId="0" hidden="1">0.95</definedName>
    <definedName name="solver_rhs24" localSheetId="0" hidden="1">1.05</definedName>
    <definedName name="solver_rhs25" localSheetId="0" hidden="1">0.95</definedName>
    <definedName name="solver_rhs26" localSheetId="0" hidden="1">1.05</definedName>
    <definedName name="solver_rhs27" localSheetId="0" hidden="1">0.95</definedName>
    <definedName name="solver_rhs28" localSheetId="0" hidden="1">1.05</definedName>
    <definedName name="solver_rhs29" localSheetId="0" hidden="1">0.95</definedName>
    <definedName name="solver_rhs3" localSheetId="0" hidden="1">0.95</definedName>
    <definedName name="solver_rhs30" localSheetId="0" hidden="1">1.05</definedName>
    <definedName name="solver_rhs31" localSheetId="0" hidden="1">0.95</definedName>
    <definedName name="solver_rhs32" localSheetId="0" hidden="1">1.05</definedName>
    <definedName name="solver_rhs33" localSheetId="0" hidden="1">0.95</definedName>
    <definedName name="solver_rhs34" localSheetId="0" hidden="1">1.05</definedName>
    <definedName name="solver_rhs35" localSheetId="0" hidden="1">0.95</definedName>
    <definedName name="solver_rhs36" localSheetId="0" hidden="1">1.05</definedName>
    <definedName name="solver_rhs37" localSheetId="0" hidden="1">0.95</definedName>
    <definedName name="solver_rhs38" localSheetId="0" hidden="1">1.05</definedName>
    <definedName name="solver_rhs39" localSheetId="0" hidden="1">0.95</definedName>
    <definedName name="solver_rhs4" localSheetId="0" hidden="1">1.05</definedName>
    <definedName name="solver_rhs40" localSheetId="0" hidden="1">1.05</definedName>
    <definedName name="solver_rhs41" localSheetId="0" hidden="1">0.95</definedName>
    <definedName name="solver_rhs5" localSheetId="0" hidden="1">0.95</definedName>
    <definedName name="solver_rhs6" localSheetId="0" hidden="1">1.05</definedName>
    <definedName name="solver_rhs7" localSheetId="0" hidden="1">0.95</definedName>
    <definedName name="solver_rhs8" localSheetId="0" hidden="1">1.05</definedName>
    <definedName name="solver_rhs9" localSheetId="0" hidden="1">0.95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F196" i="1" s="1"/>
  <c r="E197" i="1"/>
  <c r="F197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F274" i="1" s="1"/>
  <c r="E275" i="1"/>
  <c r="F275" i="1" s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F313" i="1" s="1"/>
  <c r="E314" i="1"/>
  <c r="F314" i="1" s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F326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F352" i="1" s="1"/>
  <c r="E353" i="1"/>
  <c r="F353" i="1" s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F391" i="1" s="1"/>
  <c r="E392" i="1"/>
  <c r="F392" i="1" s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F430" i="1" s="1"/>
  <c r="E431" i="1"/>
  <c r="F431" i="1" s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57" i="1"/>
  <c r="F457" i="1" s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F469" i="1" s="1"/>
  <c r="E470" i="1"/>
  <c r="F470" i="1" s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F495" i="1" s="1"/>
  <c r="E496" i="1"/>
  <c r="F496" i="1" s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F508" i="1" s="1"/>
  <c r="E509" i="1"/>
  <c r="F509" i="1" s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F534" i="1" s="1"/>
  <c r="E535" i="1"/>
  <c r="F535" i="1" s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F547" i="1" s="1"/>
  <c r="E548" i="1"/>
  <c r="F548" i="1" s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F573" i="1" s="1"/>
  <c r="E574" i="1"/>
  <c r="F574" i="1" s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F586" i="1" s="1"/>
  <c r="E587" i="1"/>
  <c r="F587" i="1" s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F612" i="1" s="1"/>
  <c r="E613" i="1"/>
  <c r="F613" i="1" s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F625" i="1" s="1"/>
  <c r="E626" i="1"/>
  <c r="F626" i="1" s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F651" i="1" s="1"/>
  <c r="E652" i="1"/>
  <c r="F652" i="1" s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F664" i="1" s="1"/>
  <c r="E665" i="1"/>
  <c r="F665" i="1" s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F690" i="1" s="1"/>
  <c r="E691" i="1"/>
  <c r="F691" i="1" s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F703" i="1" s="1"/>
  <c r="E704" i="1"/>
  <c r="F704" i="1" s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F742" i="1" s="1"/>
  <c r="E743" i="1"/>
  <c r="F743" i="1" s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F768" i="1" s="1"/>
  <c r="E769" i="1"/>
  <c r="F769" i="1" s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F781" i="1" s="1"/>
  <c r="E782" i="1"/>
  <c r="F782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08" i="1"/>
  <c r="F808" i="1" s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F846" i="1" s="1"/>
  <c r="E847" i="1"/>
  <c r="F847" i="1" s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F885" i="1" s="1"/>
  <c r="E886" i="1"/>
  <c r="F886" i="1" s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F924" i="1" s="1"/>
  <c r="E925" i="1"/>
  <c r="F925" i="1" s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951" i="1"/>
  <c r="F951" i="1" s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F963" i="1" s="1"/>
  <c r="E964" i="1"/>
  <c r="F964" i="1" s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F989" i="1" s="1"/>
  <c r="E990" i="1"/>
  <c r="F990" i="1" s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F1002" i="1" s="1"/>
  <c r="E1003" i="1"/>
  <c r="F1003" i="1" s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F1041" i="1" s="1"/>
  <c r="E1042" i="1"/>
  <c r="F1042" i="1" s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1068" i="1"/>
  <c r="F1068" i="1" s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F1080" i="1" s="1"/>
  <c r="E1081" i="1"/>
  <c r="F1081" i="1" s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F1106" i="1" s="1"/>
  <c r="E1107" i="1"/>
  <c r="F1107" i="1" s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F1119" i="1" s="1"/>
  <c r="E1120" i="1"/>
  <c r="F1120" i="1" s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F1145" i="1" s="1"/>
  <c r="E1146" i="1"/>
  <c r="F1146" i="1" s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F1158" i="1" s="1"/>
  <c r="E1159" i="1"/>
  <c r="F1159" i="1" s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F1184" i="1" s="1"/>
  <c r="E1185" i="1"/>
  <c r="F1185" i="1" s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F1197" i="1" s="1"/>
  <c r="E1198" i="1"/>
  <c r="F1198" i="1" s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F1223" i="1" s="1"/>
  <c r="E1224" i="1"/>
  <c r="F1224" i="1" s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F1236" i="1" s="1"/>
  <c r="E1237" i="1"/>
  <c r="F1237" i="1" s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55" i="1"/>
  <c r="F1255" i="1" s="1"/>
  <c r="E1256" i="1"/>
  <c r="F1256" i="1" s="1"/>
  <c r="E1257" i="1"/>
  <c r="F1257" i="1" s="1"/>
  <c r="E1258" i="1"/>
  <c r="F1258" i="1" s="1"/>
  <c r="E1259" i="1"/>
  <c r="F1259" i="1" s="1"/>
  <c r="E1260" i="1"/>
  <c r="F1260" i="1" s="1"/>
  <c r="E1261" i="1"/>
  <c r="F1261" i="1" s="1"/>
  <c r="E1262" i="1"/>
  <c r="F1262" i="1" s="1"/>
  <c r="E1263" i="1"/>
  <c r="F1263" i="1" s="1"/>
  <c r="E1264" i="1"/>
  <c r="F1264" i="1" s="1"/>
  <c r="E1265" i="1"/>
  <c r="F1265" i="1" s="1"/>
  <c r="E1266" i="1"/>
  <c r="F1266" i="1" s="1"/>
  <c r="E1267" i="1"/>
  <c r="F1267" i="1" s="1"/>
  <c r="E1268" i="1"/>
  <c r="F1268" i="1" s="1"/>
  <c r="E1269" i="1"/>
  <c r="F1269" i="1" s="1"/>
  <c r="E1270" i="1"/>
  <c r="F1270" i="1" s="1"/>
  <c r="E1271" i="1"/>
  <c r="F1271" i="1" s="1"/>
  <c r="E1272" i="1"/>
  <c r="F1272" i="1" s="1"/>
  <c r="E1273" i="1"/>
  <c r="F1273" i="1" s="1"/>
  <c r="E1274" i="1"/>
  <c r="F1274" i="1" s="1"/>
  <c r="E1275" i="1"/>
  <c r="F1275" i="1" s="1"/>
  <c r="E1276" i="1"/>
  <c r="F1276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93" i="1"/>
  <c r="F1293" i="1" s="1"/>
  <c r="E1294" i="1"/>
  <c r="F1294" i="1" s="1"/>
  <c r="E1295" i="1"/>
  <c r="F1295" i="1" s="1"/>
  <c r="E1296" i="1"/>
  <c r="F1296" i="1" s="1"/>
  <c r="E1297" i="1"/>
  <c r="F1297" i="1" s="1"/>
  <c r="E1298" i="1"/>
  <c r="F1298" i="1" s="1"/>
  <c r="E1299" i="1"/>
  <c r="F1299" i="1" s="1"/>
  <c r="E1300" i="1"/>
  <c r="F1300" i="1" s="1"/>
  <c r="E1301" i="1"/>
  <c r="F1301" i="1" s="1"/>
  <c r="E1302" i="1"/>
  <c r="F1302" i="1" s="1"/>
  <c r="E1303" i="1"/>
  <c r="F1303" i="1" s="1"/>
  <c r="E1304" i="1"/>
  <c r="F1304" i="1" s="1"/>
  <c r="E1305" i="1"/>
  <c r="F1305" i="1" s="1"/>
  <c r="E1306" i="1"/>
  <c r="F1306" i="1" s="1"/>
  <c r="E1307" i="1"/>
  <c r="F1307" i="1" s="1"/>
  <c r="E1308" i="1"/>
  <c r="F1308" i="1" s="1"/>
  <c r="E1309" i="1"/>
  <c r="F1309" i="1" s="1"/>
  <c r="E1310" i="1"/>
  <c r="F1310" i="1" s="1"/>
  <c r="E1311" i="1"/>
  <c r="F1311" i="1" s="1"/>
  <c r="E1312" i="1"/>
  <c r="F1312" i="1" s="1"/>
  <c r="E1313" i="1"/>
  <c r="F1313" i="1" s="1"/>
  <c r="E1314" i="1"/>
  <c r="F1314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331" i="1"/>
  <c r="F1331" i="1" s="1"/>
  <c r="E1332" i="1"/>
  <c r="F1332" i="1" s="1"/>
  <c r="E1333" i="1"/>
  <c r="F1333" i="1" s="1"/>
  <c r="E1334" i="1"/>
  <c r="F1334" i="1" s="1"/>
  <c r="E1335" i="1"/>
  <c r="F1335" i="1" s="1"/>
  <c r="E1336" i="1"/>
  <c r="F1336" i="1" s="1"/>
  <c r="E1337" i="1"/>
  <c r="F1337" i="1" s="1"/>
  <c r="E1338" i="1"/>
  <c r="F1338" i="1" s="1"/>
  <c r="E1339" i="1"/>
  <c r="F1339" i="1" s="1"/>
  <c r="E1340" i="1"/>
  <c r="F1340" i="1" s="1"/>
  <c r="E1341" i="1"/>
  <c r="F1341" i="1" s="1"/>
  <c r="E1342" i="1"/>
  <c r="F1342" i="1" s="1"/>
  <c r="E1343" i="1"/>
  <c r="F1343" i="1" s="1"/>
  <c r="E1344" i="1"/>
  <c r="F1344" i="1" s="1"/>
  <c r="E1345" i="1"/>
  <c r="F1345" i="1" s="1"/>
  <c r="E1346" i="1"/>
  <c r="F1346" i="1" s="1"/>
  <c r="E1347" i="1"/>
  <c r="F1347" i="1" s="1"/>
  <c r="E1348" i="1"/>
  <c r="F1348" i="1" s="1"/>
  <c r="E1349" i="1"/>
  <c r="F1349" i="1" s="1"/>
  <c r="E1350" i="1"/>
  <c r="F1350" i="1" s="1"/>
  <c r="E1351" i="1"/>
  <c r="F1351" i="1" s="1"/>
  <c r="E1352" i="1"/>
  <c r="F1352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69" i="1"/>
  <c r="F1369" i="1" s="1"/>
  <c r="E1370" i="1"/>
  <c r="F1370" i="1" s="1"/>
  <c r="E1371" i="1"/>
  <c r="F1371" i="1" s="1"/>
  <c r="E1372" i="1"/>
  <c r="F1372" i="1" s="1"/>
  <c r="E1373" i="1"/>
  <c r="F1373" i="1" s="1"/>
  <c r="E1374" i="1"/>
  <c r="F1374" i="1" s="1"/>
  <c r="E1375" i="1"/>
  <c r="F1375" i="1" s="1"/>
  <c r="E1376" i="1"/>
  <c r="F1376" i="1" s="1"/>
  <c r="E1377" i="1"/>
  <c r="F1377" i="1" s="1"/>
  <c r="E1378" i="1"/>
  <c r="F1378" i="1" s="1"/>
  <c r="E1379" i="1"/>
  <c r="F1379" i="1" s="1"/>
  <c r="E1380" i="1"/>
  <c r="F1380" i="1" s="1"/>
  <c r="E1381" i="1"/>
  <c r="F1381" i="1" s="1"/>
  <c r="E1382" i="1"/>
  <c r="F1382" i="1" s="1"/>
  <c r="E1383" i="1"/>
  <c r="F1383" i="1" s="1"/>
  <c r="E1384" i="1"/>
  <c r="F1384" i="1" s="1"/>
  <c r="E1385" i="1"/>
  <c r="F1385" i="1" s="1"/>
  <c r="E1386" i="1"/>
  <c r="F1386" i="1" s="1"/>
  <c r="E1387" i="1"/>
  <c r="F1387" i="1" s="1"/>
  <c r="E1388" i="1"/>
  <c r="F1388" i="1" s="1"/>
  <c r="E1389" i="1"/>
  <c r="F1389" i="1" s="1"/>
  <c r="E1390" i="1"/>
  <c r="F1390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407" i="1"/>
  <c r="F1407" i="1" s="1"/>
  <c r="E1408" i="1"/>
  <c r="F1408" i="1" s="1"/>
  <c r="E1409" i="1"/>
  <c r="F1409" i="1" s="1"/>
  <c r="E1410" i="1"/>
  <c r="F1410" i="1" s="1"/>
  <c r="E1411" i="1"/>
  <c r="F1411" i="1" s="1"/>
  <c r="E1412" i="1"/>
  <c r="F1412" i="1" s="1"/>
  <c r="E1413" i="1"/>
  <c r="F1413" i="1" s="1"/>
  <c r="E1414" i="1"/>
  <c r="F1414" i="1" s="1"/>
  <c r="E1415" i="1"/>
  <c r="F1415" i="1" s="1"/>
  <c r="E1416" i="1"/>
  <c r="F1416" i="1" s="1"/>
  <c r="E1417" i="1"/>
  <c r="F1417" i="1" s="1"/>
  <c r="E1418" i="1"/>
  <c r="F1418" i="1" s="1"/>
  <c r="E1419" i="1"/>
  <c r="F1419" i="1" s="1"/>
  <c r="E1420" i="1"/>
  <c r="F1420" i="1" s="1"/>
  <c r="E1421" i="1"/>
  <c r="F1421" i="1" s="1"/>
  <c r="E1422" i="1"/>
  <c r="F1422" i="1" s="1"/>
  <c r="E1423" i="1"/>
  <c r="F1423" i="1" s="1"/>
  <c r="E1424" i="1"/>
  <c r="F1424" i="1" s="1"/>
  <c r="E1425" i="1"/>
  <c r="F1425" i="1" s="1"/>
  <c r="E1426" i="1"/>
  <c r="F1426" i="1" s="1"/>
  <c r="E1427" i="1"/>
  <c r="F1427" i="1" s="1"/>
  <c r="E1428" i="1"/>
  <c r="F1428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445" i="1"/>
  <c r="F1445" i="1" s="1"/>
  <c r="E1446" i="1"/>
  <c r="F1446" i="1" s="1"/>
  <c r="E1447" i="1"/>
  <c r="F1447" i="1" s="1"/>
  <c r="E1448" i="1"/>
  <c r="F1448" i="1" s="1"/>
  <c r="E1449" i="1"/>
  <c r="F1449" i="1" s="1"/>
  <c r="E1450" i="1"/>
  <c r="F1450" i="1" s="1"/>
  <c r="E1451" i="1"/>
  <c r="F1451" i="1" s="1"/>
  <c r="E1452" i="1"/>
  <c r="F1452" i="1" s="1"/>
  <c r="E1453" i="1"/>
  <c r="F1453" i="1" s="1"/>
  <c r="E1454" i="1"/>
  <c r="F1454" i="1" s="1"/>
  <c r="E1455" i="1"/>
  <c r="F1455" i="1" s="1"/>
  <c r="E1456" i="1"/>
  <c r="F1456" i="1" s="1"/>
  <c r="E1457" i="1"/>
  <c r="F1457" i="1" s="1"/>
  <c r="E1458" i="1"/>
  <c r="F1458" i="1" s="1"/>
  <c r="E1459" i="1"/>
  <c r="F1459" i="1" s="1"/>
  <c r="E1460" i="1"/>
  <c r="F1460" i="1" s="1"/>
  <c r="E1461" i="1"/>
  <c r="F1461" i="1" s="1"/>
  <c r="E1462" i="1"/>
  <c r="F1462" i="1" s="1"/>
  <c r="E1463" i="1"/>
  <c r="F1463" i="1" s="1"/>
  <c r="E1464" i="1"/>
  <c r="F1464" i="1" s="1"/>
  <c r="E1465" i="1"/>
  <c r="F1465" i="1" s="1"/>
  <c r="E1466" i="1"/>
  <c r="F1466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83" i="1"/>
  <c r="F1483" i="1" s="1"/>
  <c r="E1484" i="1"/>
  <c r="F1484" i="1" s="1"/>
  <c r="E1485" i="1"/>
  <c r="F1485" i="1" s="1"/>
  <c r="E1486" i="1"/>
  <c r="F1486" i="1" s="1"/>
  <c r="E1487" i="1"/>
  <c r="F1487" i="1" s="1"/>
  <c r="E1488" i="1"/>
  <c r="F1488" i="1" s="1"/>
  <c r="E1489" i="1"/>
  <c r="F1489" i="1" s="1"/>
  <c r="E1490" i="1"/>
  <c r="F1490" i="1" s="1"/>
  <c r="E1491" i="1"/>
  <c r="F1491" i="1" s="1"/>
  <c r="E1492" i="1"/>
  <c r="F1492" i="1" s="1"/>
  <c r="E1493" i="1"/>
  <c r="F1493" i="1" s="1"/>
  <c r="E1494" i="1"/>
  <c r="F1494" i="1" s="1"/>
  <c r="E1495" i="1"/>
  <c r="F1495" i="1" s="1"/>
  <c r="E1496" i="1"/>
  <c r="F1496" i="1" s="1"/>
  <c r="E1497" i="1"/>
  <c r="F1497" i="1" s="1"/>
  <c r="E1498" i="1"/>
  <c r="F1498" i="1" s="1"/>
  <c r="E1499" i="1"/>
  <c r="F1499" i="1" s="1"/>
  <c r="E1500" i="1"/>
  <c r="F1500" i="1" s="1"/>
  <c r="E1501" i="1"/>
  <c r="F1501" i="1" s="1"/>
  <c r="E1502" i="1"/>
  <c r="F1502" i="1" s="1"/>
  <c r="E1503" i="1"/>
  <c r="F1503" i="1" s="1"/>
  <c r="E1504" i="1"/>
  <c r="F1504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521" i="1"/>
  <c r="F1521" i="1" s="1"/>
  <c r="E1522" i="1"/>
  <c r="F1522" i="1" s="1"/>
  <c r="E1523" i="1"/>
  <c r="F1523" i="1" s="1"/>
  <c r="E1524" i="1"/>
  <c r="F1524" i="1" s="1"/>
  <c r="E1525" i="1"/>
  <c r="F1525" i="1" s="1"/>
  <c r="E1526" i="1"/>
  <c r="F1526" i="1" s="1"/>
  <c r="E1527" i="1"/>
  <c r="F1527" i="1" s="1"/>
  <c r="E1528" i="1"/>
  <c r="F1528" i="1" s="1"/>
  <c r="E1529" i="1"/>
  <c r="F1529" i="1" s="1"/>
  <c r="E1530" i="1"/>
  <c r="F1530" i="1" s="1"/>
  <c r="E1531" i="1"/>
  <c r="F1531" i="1" s="1"/>
  <c r="E1532" i="1"/>
  <c r="F1532" i="1" s="1"/>
  <c r="E1533" i="1"/>
  <c r="F1533" i="1" s="1"/>
  <c r="E1534" i="1"/>
  <c r="F1534" i="1" s="1"/>
  <c r="E1535" i="1"/>
  <c r="F1535" i="1" s="1"/>
  <c r="E1536" i="1"/>
  <c r="F1536" i="1" s="1"/>
  <c r="E1537" i="1"/>
  <c r="F1537" i="1" s="1"/>
  <c r="E1538" i="1"/>
  <c r="F1538" i="1" s="1"/>
  <c r="E1539" i="1"/>
  <c r="F1539" i="1" s="1"/>
  <c r="E1540" i="1"/>
  <c r="F1540" i="1" s="1"/>
  <c r="E1541" i="1"/>
  <c r="F1541" i="1" s="1"/>
  <c r="E1542" i="1"/>
  <c r="F1542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59" i="1"/>
  <c r="F1559" i="1" s="1"/>
  <c r="E1560" i="1"/>
  <c r="F1560" i="1" s="1"/>
  <c r="E1561" i="1"/>
  <c r="F1561" i="1" s="1"/>
  <c r="E1562" i="1"/>
  <c r="F1562" i="1" s="1"/>
  <c r="E1563" i="1"/>
  <c r="F1563" i="1" s="1"/>
  <c r="E1564" i="1"/>
  <c r="F1564" i="1" s="1"/>
  <c r="E1565" i="1"/>
  <c r="F1565" i="1" s="1"/>
  <c r="E1566" i="1"/>
  <c r="F1566" i="1" s="1"/>
  <c r="E1567" i="1"/>
  <c r="F1567" i="1" s="1"/>
  <c r="E1568" i="1"/>
  <c r="F1568" i="1" s="1"/>
  <c r="E1569" i="1"/>
  <c r="F1569" i="1" s="1"/>
  <c r="E1570" i="1"/>
  <c r="F1570" i="1" s="1"/>
  <c r="E1571" i="1"/>
  <c r="F1571" i="1" s="1"/>
  <c r="E1572" i="1"/>
  <c r="F1572" i="1" s="1"/>
  <c r="E1573" i="1"/>
  <c r="F1573" i="1" s="1"/>
  <c r="E1574" i="1"/>
  <c r="F1574" i="1" s="1"/>
  <c r="E1575" i="1"/>
  <c r="F1575" i="1" s="1"/>
  <c r="E1576" i="1"/>
  <c r="F1576" i="1" s="1"/>
  <c r="E1577" i="1"/>
  <c r="F1577" i="1" s="1"/>
  <c r="E1578" i="1"/>
  <c r="F1578" i="1" s="1"/>
  <c r="E1579" i="1"/>
  <c r="F1579" i="1" s="1"/>
  <c r="E1580" i="1"/>
  <c r="F1580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97" i="1"/>
  <c r="F1597" i="1" s="1"/>
  <c r="E1598" i="1"/>
  <c r="F1598" i="1" s="1"/>
  <c r="E1599" i="1"/>
  <c r="F1599" i="1" s="1"/>
  <c r="E1600" i="1"/>
  <c r="F1600" i="1" s="1"/>
  <c r="E1601" i="1"/>
  <c r="F1601" i="1" s="1"/>
  <c r="E1602" i="1"/>
  <c r="F1602" i="1" s="1"/>
  <c r="E1603" i="1"/>
  <c r="F1603" i="1" s="1"/>
  <c r="E1604" i="1"/>
  <c r="F1604" i="1" s="1"/>
  <c r="E1605" i="1"/>
  <c r="F1605" i="1" s="1"/>
  <c r="E1606" i="1"/>
  <c r="F1606" i="1" s="1"/>
  <c r="E1607" i="1"/>
  <c r="F1607" i="1" s="1"/>
  <c r="E1608" i="1"/>
  <c r="F1608" i="1" s="1"/>
  <c r="E1609" i="1"/>
  <c r="F1609" i="1" s="1"/>
  <c r="E1610" i="1"/>
  <c r="F1610" i="1" s="1"/>
  <c r="E1611" i="1"/>
  <c r="F1611" i="1" s="1"/>
  <c r="E1612" i="1"/>
  <c r="F1612" i="1" s="1"/>
  <c r="E1613" i="1"/>
  <c r="F1613" i="1" s="1"/>
  <c r="E1614" i="1"/>
  <c r="F1614" i="1" s="1"/>
  <c r="E1615" i="1"/>
  <c r="F1615" i="1" s="1"/>
  <c r="E1616" i="1"/>
  <c r="F1616" i="1" s="1"/>
  <c r="E1617" i="1"/>
  <c r="F1617" i="1" s="1"/>
  <c r="E1618" i="1"/>
  <c r="F1618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635" i="1"/>
  <c r="F1635" i="1" s="1"/>
  <c r="E1636" i="1"/>
  <c r="F1636" i="1" s="1"/>
  <c r="E1637" i="1"/>
  <c r="F1637" i="1" s="1"/>
  <c r="E1638" i="1"/>
  <c r="F1638" i="1" s="1"/>
  <c r="E1639" i="1"/>
  <c r="F1639" i="1" s="1"/>
  <c r="E1640" i="1"/>
  <c r="F1640" i="1" s="1"/>
  <c r="E1641" i="1"/>
  <c r="F1641" i="1" s="1"/>
  <c r="E1642" i="1"/>
  <c r="F1642" i="1" s="1"/>
  <c r="E1643" i="1"/>
  <c r="F1643" i="1" s="1"/>
  <c r="E1644" i="1"/>
  <c r="F1644" i="1" s="1"/>
  <c r="E1645" i="1"/>
  <c r="F1645" i="1" s="1"/>
  <c r="E1646" i="1"/>
  <c r="F1646" i="1" s="1"/>
  <c r="E1647" i="1"/>
  <c r="F1647" i="1" s="1"/>
  <c r="E1648" i="1"/>
  <c r="F1648" i="1" s="1"/>
  <c r="E1649" i="1"/>
  <c r="F1649" i="1" s="1"/>
  <c r="E1650" i="1"/>
  <c r="F1650" i="1" s="1"/>
  <c r="E1651" i="1"/>
  <c r="F1651" i="1" s="1"/>
  <c r="E1652" i="1"/>
  <c r="F1652" i="1" s="1"/>
  <c r="E1653" i="1"/>
  <c r="F1653" i="1" s="1"/>
  <c r="E1654" i="1"/>
  <c r="F1654" i="1" s="1"/>
  <c r="E1655" i="1"/>
  <c r="F1655" i="1" s="1"/>
  <c r="E1656" i="1"/>
  <c r="F1656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73" i="1"/>
  <c r="F1673" i="1" s="1"/>
  <c r="E1674" i="1"/>
  <c r="F1674" i="1" s="1"/>
  <c r="E1675" i="1"/>
  <c r="F1675" i="1" s="1"/>
  <c r="E1676" i="1"/>
  <c r="F1676" i="1" s="1"/>
  <c r="E1677" i="1"/>
  <c r="F1677" i="1" s="1"/>
  <c r="E1678" i="1"/>
  <c r="F1678" i="1" s="1"/>
  <c r="E1679" i="1"/>
  <c r="F1679" i="1" s="1"/>
  <c r="E1680" i="1"/>
  <c r="F1680" i="1" s="1"/>
  <c r="E1681" i="1"/>
  <c r="F1681" i="1" s="1"/>
  <c r="E1682" i="1"/>
  <c r="F1682" i="1" s="1"/>
  <c r="E1683" i="1"/>
  <c r="F1683" i="1" s="1"/>
  <c r="E1684" i="1"/>
  <c r="F1684" i="1" s="1"/>
  <c r="E1685" i="1"/>
  <c r="F1685" i="1" s="1"/>
  <c r="E1686" i="1"/>
  <c r="F1686" i="1" s="1"/>
  <c r="E1687" i="1"/>
  <c r="F1687" i="1" s="1"/>
  <c r="E1688" i="1"/>
  <c r="F1688" i="1" s="1"/>
  <c r="E1689" i="1"/>
  <c r="F1689" i="1" s="1"/>
  <c r="E1690" i="1"/>
  <c r="F1690" i="1" s="1"/>
  <c r="E1691" i="1"/>
  <c r="F1691" i="1" s="1"/>
  <c r="E1692" i="1"/>
  <c r="F1692" i="1" s="1"/>
  <c r="E1693" i="1"/>
  <c r="F1693" i="1" s="1"/>
  <c r="E1694" i="1"/>
  <c r="F1694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711" i="1"/>
  <c r="F1711" i="1" s="1"/>
  <c r="E1712" i="1"/>
  <c r="F1712" i="1" s="1"/>
  <c r="E1713" i="1"/>
  <c r="F1713" i="1" s="1"/>
  <c r="E1714" i="1"/>
  <c r="F1714" i="1" s="1"/>
  <c r="E1715" i="1"/>
  <c r="F1715" i="1" s="1"/>
  <c r="E1716" i="1"/>
  <c r="F1716" i="1" s="1"/>
  <c r="E1717" i="1"/>
  <c r="F1717" i="1" s="1"/>
  <c r="E1718" i="1"/>
  <c r="F1718" i="1" s="1"/>
  <c r="E1719" i="1"/>
  <c r="F1719" i="1" s="1"/>
  <c r="E1720" i="1"/>
  <c r="F1720" i="1" s="1"/>
  <c r="E1721" i="1"/>
  <c r="F1721" i="1" s="1"/>
  <c r="E1722" i="1"/>
  <c r="F1722" i="1" s="1"/>
  <c r="E1723" i="1"/>
  <c r="F1723" i="1" s="1"/>
  <c r="E1724" i="1"/>
  <c r="F1724" i="1" s="1"/>
  <c r="E1725" i="1"/>
  <c r="F1725" i="1" s="1"/>
  <c r="E1726" i="1"/>
  <c r="F1726" i="1" s="1"/>
  <c r="E1727" i="1"/>
  <c r="F1727" i="1" s="1"/>
  <c r="E1728" i="1"/>
  <c r="F1728" i="1" s="1"/>
  <c r="E1729" i="1"/>
  <c r="F1729" i="1" s="1"/>
  <c r="E1730" i="1"/>
  <c r="F1730" i="1" s="1"/>
  <c r="E1731" i="1"/>
  <c r="F1731" i="1" s="1"/>
  <c r="E1732" i="1"/>
  <c r="F1732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749" i="1"/>
  <c r="F1749" i="1" s="1"/>
  <c r="E1750" i="1"/>
  <c r="F1750" i="1" s="1"/>
  <c r="E1751" i="1"/>
  <c r="F1751" i="1" s="1"/>
  <c r="E1752" i="1"/>
  <c r="F1752" i="1" s="1"/>
  <c r="E1753" i="1"/>
  <c r="F1753" i="1" s="1"/>
  <c r="E1754" i="1"/>
  <c r="F1754" i="1" s="1"/>
  <c r="E1755" i="1"/>
  <c r="F1755" i="1" s="1"/>
  <c r="E1756" i="1"/>
  <c r="F1756" i="1" s="1"/>
  <c r="E1757" i="1"/>
  <c r="F1757" i="1" s="1"/>
  <c r="E1758" i="1"/>
  <c r="F1758" i="1" s="1"/>
  <c r="E1759" i="1"/>
  <c r="F1759" i="1" s="1"/>
  <c r="E1760" i="1"/>
  <c r="F1760" i="1" s="1"/>
  <c r="E1761" i="1"/>
  <c r="F1761" i="1" s="1"/>
  <c r="E1762" i="1"/>
  <c r="F1762" i="1" s="1"/>
  <c r="E1763" i="1"/>
  <c r="F1763" i="1" s="1"/>
  <c r="E6" i="1"/>
  <c r="F6" i="1" s="1"/>
  <c r="H6" i="1" s="1"/>
  <c r="G7" i="1" l="1"/>
  <c r="I6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H7" i="1" l="1"/>
  <c r="I7" i="1" s="1"/>
  <c r="D3" i="1"/>
  <c r="G8" i="1" l="1"/>
  <c r="H8" i="1" s="1"/>
  <c r="I8" i="1" l="1"/>
  <c r="G9" i="1"/>
  <c r="H9" i="1" s="1"/>
  <c r="G10" i="1" l="1"/>
  <c r="H10" i="1" s="1"/>
  <c r="I9" i="1"/>
  <c r="G11" i="1" l="1"/>
  <c r="H11" i="1" s="1"/>
  <c r="I10" i="1"/>
  <c r="I11" i="1" l="1"/>
  <c r="G12" i="1"/>
  <c r="H12" i="1" s="1"/>
  <c r="I12" i="1" s="1"/>
  <c r="G13" i="1" l="1"/>
  <c r="H13" i="1" s="1"/>
  <c r="I13" i="1" s="1"/>
  <c r="G14" i="1" l="1"/>
  <c r="H14" i="1" s="1"/>
  <c r="G15" i="1" l="1"/>
  <c r="H15" i="1" s="1"/>
  <c r="I14" i="1"/>
  <c r="G16" i="1" l="1"/>
  <c r="H16" i="1" s="1"/>
  <c r="I15" i="1"/>
  <c r="G17" i="1" l="1"/>
  <c r="H17" i="1" s="1"/>
  <c r="I16" i="1"/>
  <c r="G18" i="1" l="1"/>
  <c r="H18" i="1" s="1"/>
  <c r="I17" i="1"/>
  <c r="G19" i="1" l="1"/>
  <c r="H19" i="1" s="1"/>
  <c r="I18" i="1"/>
  <c r="G20" i="1" l="1"/>
  <c r="H20" i="1" s="1"/>
  <c r="I19" i="1"/>
  <c r="G21" i="1" l="1"/>
  <c r="H21" i="1" s="1"/>
  <c r="I20" i="1"/>
  <c r="G22" i="1" l="1"/>
  <c r="H22" i="1" s="1"/>
  <c r="I21" i="1"/>
  <c r="G23" i="1" l="1"/>
  <c r="I22" i="1"/>
  <c r="H23" i="1"/>
  <c r="G24" i="1" l="1"/>
  <c r="H24" i="1" s="1"/>
  <c r="I23" i="1"/>
  <c r="G25" i="1" l="1"/>
  <c r="H25" i="1" s="1"/>
  <c r="I24" i="1"/>
  <c r="G26" i="1" l="1"/>
  <c r="H26" i="1" s="1"/>
  <c r="I25" i="1"/>
  <c r="G27" i="1" l="1"/>
  <c r="H27" i="1" s="1"/>
  <c r="I26" i="1"/>
  <c r="G28" i="1" l="1"/>
  <c r="H28" i="1" s="1"/>
  <c r="I27" i="1"/>
  <c r="G29" i="1" l="1"/>
  <c r="H29" i="1" s="1"/>
  <c r="I28" i="1"/>
  <c r="G30" i="1" l="1"/>
  <c r="H30" i="1" s="1"/>
  <c r="I29" i="1"/>
  <c r="G31" i="1" l="1"/>
  <c r="H31" i="1" s="1"/>
  <c r="I30" i="1"/>
  <c r="G32" i="1" l="1"/>
  <c r="H32" i="1" s="1"/>
  <c r="I31" i="1"/>
  <c r="G33" i="1" l="1"/>
  <c r="H33" i="1" s="1"/>
  <c r="I32" i="1"/>
  <c r="G34" i="1" l="1"/>
  <c r="H34" i="1" s="1"/>
  <c r="I33" i="1"/>
  <c r="G35" i="1" l="1"/>
  <c r="H35" i="1" s="1"/>
  <c r="I34" i="1"/>
  <c r="G36" i="1" l="1"/>
  <c r="H36" i="1" s="1"/>
  <c r="I35" i="1"/>
  <c r="G37" i="1" l="1"/>
  <c r="H37" i="1" s="1"/>
  <c r="I36" i="1"/>
  <c r="G38" i="1" l="1"/>
  <c r="H38" i="1" s="1"/>
  <c r="I37" i="1"/>
  <c r="G39" i="1" l="1"/>
  <c r="H39" i="1" s="1"/>
  <c r="I38" i="1"/>
  <c r="G40" i="1" l="1"/>
  <c r="H40" i="1" s="1"/>
  <c r="I39" i="1"/>
  <c r="G41" i="1" l="1"/>
  <c r="H41" i="1" s="1"/>
  <c r="I40" i="1"/>
  <c r="G42" i="1" l="1"/>
  <c r="H42" i="1" s="1"/>
  <c r="I41" i="1"/>
  <c r="G43" i="1" l="1"/>
  <c r="H43" i="1" s="1"/>
  <c r="I42" i="1"/>
  <c r="G44" i="1" l="1"/>
  <c r="H44" i="1" s="1"/>
  <c r="I43" i="1"/>
  <c r="G45" i="1" l="1"/>
  <c r="H45" i="1" s="1"/>
  <c r="I44" i="1"/>
  <c r="G46" i="1" l="1"/>
  <c r="H46" i="1" s="1"/>
  <c r="I45" i="1"/>
  <c r="G47" i="1" l="1"/>
  <c r="H47" i="1" s="1"/>
  <c r="I46" i="1"/>
  <c r="G48" i="1" l="1"/>
  <c r="H48" i="1" s="1"/>
  <c r="I47" i="1"/>
  <c r="G49" i="1" l="1"/>
  <c r="H49" i="1" s="1"/>
  <c r="I48" i="1"/>
  <c r="G50" i="1" l="1"/>
  <c r="H50" i="1" s="1"/>
  <c r="I49" i="1"/>
  <c r="G51" i="1" l="1"/>
  <c r="H51" i="1" s="1"/>
  <c r="I50" i="1"/>
  <c r="G52" i="1" l="1"/>
  <c r="H52" i="1" s="1"/>
  <c r="I51" i="1"/>
  <c r="G53" i="1" l="1"/>
  <c r="H53" i="1" s="1"/>
  <c r="I52" i="1"/>
  <c r="G54" i="1" l="1"/>
  <c r="H54" i="1" s="1"/>
  <c r="I53" i="1"/>
  <c r="G55" i="1" l="1"/>
  <c r="H55" i="1" s="1"/>
  <c r="I54" i="1"/>
  <c r="G56" i="1" l="1"/>
  <c r="H56" i="1" s="1"/>
  <c r="I55" i="1"/>
  <c r="G57" i="1" l="1"/>
  <c r="H57" i="1" s="1"/>
  <c r="I56" i="1"/>
  <c r="G58" i="1" l="1"/>
  <c r="H58" i="1" s="1"/>
  <c r="I57" i="1"/>
  <c r="G59" i="1" l="1"/>
  <c r="H59" i="1" s="1"/>
  <c r="I58" i="1"/>
  <c r="G60" i="1" l="1"/>
  <c r="H60" i="1" s="1"/>
  <c r="I59" i="1"/>
  <c r="G61" i="1" l="1"/>
  <c r="H61" i="1" s="1"/>
  <c r="I60" i="1"/>
  <c r="G62" i="1" l="1"/>
  <c r="H62" i="1" s="1"/>
  <c r="I61" i="1"/>
  <c r="G63" i="1" l="1"/>
  <c r="H63" i="1" s="1"/>
  <c r="I62" i="1"/>
  <c r="G64" i="1" l="1"/>
  <c r="H64" i="1" s="1"/>
  <c r="I63" i="1"/>
  <c r="G65" i="1" l="1"/>
  <c r="H65" i="1" s="1"/>
  <c r="I64" i="1"/>
  <c r="G66" i="1" l="1"/>
  <c r="H66" i="1" s="1"/>
  <c r="I65" i="1"/>
  <c r="G67" i="1" l="1"/>
  <c r="H67" i="1" s="1"/>
  <c r="I66" i="1"/>
  <c r="G68" i="1" l="1"/>
  <c r="H68" i="1" s="1"/>
  <c r="I67" i="1"/>
  <c r="G69" i="1" l="1"/>
  <c r="H69" i="1" s="1"/>
  <c r="I68" i="1"/>
  <c r="G70" i="1" l="1"/>
  <c r="H70" i="1" s="1"/>
  <c r="I69" i="1"/>
  <c r="G71" i="1" l="1"/>
  <c r="H71" i="1" s="1"/>
  <c r="I70" i="1"/>
  <c r="G72" i="1" l="1"/>
  <c r="H72" i="1" s="1"/>
  <c r="I71" i="1"/>
  <c r="G73" i="1" l="1"/>
  <c r="H73" i="1" s="1"/>
  <c r="I72" i="1"/>
  <c r="G74" i="1" l="1"/>
  <c r="H74" i="1" s="1"/>
  <c r="I73" i="1"/>
  <c r="G75" i="1" l="1"/>
  <c r="H75" i="1" s="1"/>
  <c r="I74" i="1"/>
  <c r="G76" i="1" l="1"/>
  <c r="H76" i="1" s="1"/>
  <c r="I75" i="1"/>
  <c r="G77" i="1" l="1"/>
  <c r="H77" i="1" s="1"/>
  <c r="I76" i="1"/>
  <c r="G78" i="1" l="1"/>
  <c r="H78" i="1" s="1"/>
  <c r="I77" i="1"/>
  <c r="G79" i="1" l="1"/>
  <c r="H79" i="1" s="1"/>
  <c r="I78" i="1"/>
  <c r="I79" i="1" l="1"/>
  <c r="G80" i="1"/>
  <c r="H80" i="1" s="1"/>
  <c r="G81" i="1" l="1"/>
  <c r="H81" i="1" s="1"/>
  <c r="I80" i="1"/>
  <c r="G82" i="1" l="1"/>
  <c r="H82" i="1" s="1"/>
  <c r="I81" i="1"/>
  <c r="G83" i="1" l="1"/>
  <c r="H83" i="1" s="1"/>
  <c r="I82" i="1"/>
  <c r="G84" i="1" l="1"/>
  <c r="H84" i="1" s="1"/>
  <c r="I84" i="1" s="1"/>
  <c r="I83" i="1"/>
  <c r="G85" i="1" l="1"/>
  <c r="H85" i="1" s="1"/>
  <c r="G86" i="1" l="1"/>
  <c r="H86" i="1" s="1"/>
  <c r="I85" i="1"/>
  <c r="G87" i="1" l="1"/>
  <c r="H87" i="1" s="1"/>
  <c r="I86" i="1"/>
  <c r="G88" i="1" l="1"/>
  <c r="H88" i="1" s="1"/>
  <c r="I87" i="1"/>
  <c r="G89" i="1" l="1"/>
  <c r="H89" i="1" s="1"/>
  <c r="I88" i="1"/>
  <c r="G90" i="1" l="1"/>
  <c r="H90" i="1" s="1"/>
  <c r="I89" i="1"/>
  <c r="G91" i="1" l="1"/>
  <c r="H91" i="1" s="1"/>
  <c r="I90" i="1"/>
  <c r="G92" i="1" l="1"/>
  <c r="H92" i="1" s="1"/>
  <c r="I91" i="1"/>
  <c r="G93" i="1" l="1"/>
  <c r="H93" i="1" s="1"/>
  <c r="I92" i="1"/>
  <c r="G94" i="1" l="1"/>
  <c r="H94" i="1" s="1"/>
  <c r="I93" i="1"/>
  <c r="G95" i="1" l="1"/>
  <c r="H95" i="1" s="1"/>
  <c r="I94" i="1"/>
  <c r="G96" i="1" l="1"/>
  <c r="H96" i="1" s="1"/>
  <c r="I95" i="1"/>
  <c r="G97" i="1" l="1"/>
  <c r="I96" i="1"/>
  <c r="H97" i="1"/>
  <c r="G98" i="1" l="1"/>
  <c r="H98" i="1" s="1"/>
  <c r="I97" i="1"/>
  <c r="G99" i="1" l="1"/>
  <c r="H99" i="1" s="1"/>
  <c r="I98" i="1"/>
  <c r="G100" i="1" l="1"/>
  <c r="H100" i="1" s="1"/>
  <c r="I99" i="1"/>
  <c r="G101" i="1" l="1"/>
  <c r="H101" i="1" s="1"/>
  <c r="I100" i="1"/>
  <c r="G102" i="1" l="1"/>
  <c r="H102" i="1" s="1"/>
  <c r="I101" i="1"/>
  <c r="G103" i="1" l="1"/>
  <c r="H103" i="1" s="1"/>
  <c r="I102" i="1"/>
  <c r="G104" i="1" l="1"/>
  <c r="H104" i="1" s="1"/>
  <c r="I103" i="1"/>
  <c r="G105" i="1" l="1"/>
  <c r="H105" i="1" s="1"/>
  <c r="I104" i="1"/>
  <c r="G106" i="1" l="1"/>
  <c r="H106" i="1" s="1"/>
  <c r="I105" i="1"/>
  <c r="G107" i="1" l="1"/>
  <c r="H107" i="1" s="1"/>
  <c r="I106" i="1"/>
  <c r="G108" i="1" l="1"/>
  <c r="H108" i="1" s="1"/>
  <c r="I107" i="1"/>
  <c r="G109" i="1" l="1"/>
  <c r="H109" i="1" s="1"/>
  <c r="I108" i="1"/>
  <c r="G110" i="1" l="1"/>
  <c r="H110" i="1" s="1"/>
  <c r="I109" i="1"/>
  <c r="G111" i="1" l="1"/>
  <c r="H111" i="1" s="1"/>
  <c r="I110" i="1"/>
  <c r="G112" i="1" l="1"/>
  <c r="H112" i="1" s="1"/>
  <c r="I111" i="1"/>
  <c r="G113" i="1" l="1"/>
  <c r="H113" i="1" s="1"/>
  <c r="I112" i="1"/>
  <c r="G114" i="1" l="1"/>
  <c r="H114" i="1" s="1"/>
  <c r="I113" i="1"/>
  <c r="G115" i="1" l="1"/>
  <c r="H115" i="1" s="1"/>
  <c r="I114" i="1"/>
  <c r="G116" i="1" l="1"/>
  <c r="H116" i="1" s="1"/>
  <c r="I115" i="1"/>
  <c r="G117" i="1" l="1"/>
  <c r="H117" i="1" s="1"/>
  <c r="I116" i="1"/>
  <c r="G118" i="1" l="1"/>
  <c r="H118" i="1" s="1"/>
  <c r="I117" i="1"/>
  <c r="G119" i="1" l="1"/>
  <c r="H119" i="1" s="1"/>
  <c r="I118" i="1"/>
  <c r="G120" i="1" l="1"/>
  <c r="H120" i="1" s="1"/>
  <c r="I119" i="1"/>
  <c r="G121" i="1" l="1"/>
  <c r="H121" i="1" s="1"/>
  <c r="I120" i="1"/>
  <c r="G122" i="1" l="1"/>
  <c r="H122" i="1" s="1"/>
  <c r="I121" i="1"/>
  <c r="G123" i="1" l="1"/>
  <c r="H123" i="1" s="1"/>
  <c r="I122" i="1"/>
  <c r="G124" i="1" l="1"/>
  <c r="H124" i="1" s="1"/>
  <c r="I124" i="1" s="1"/>
  <c r="I123" i="1"/>
  <c r="G125" i="1" l="1"/>
  <c r="H125" i="1" s="1"/>
  <c r="G126" i="1" l="1"/>
  <c r="H126" i="1" s="1"/>
  <c r="I126" i="1" s="1"/>
  <c r="I125" i="1"/>
  <c r="G127" i="1" l="1"/>
  <c r="H127" i="1" s="1"/>
  <c r="G128" i="1" l="1"/>
  <c r="H128" i="1" s="1"/>
  <c r="I127" i="1"/>
  <c r="G129" i="1" l="1"/>
  <c r="H129" i="1" s="1"/>
  <c r="I128" i="1"/>
  <c r="G130" i="1" l="1"/>
  <c r="H130" i="1" s="1"/>
  <c r="I129" i="1"/>
  <c r="G131" i="1" l="1"/>
  <c r="H131" i="1" s="1"/>
  <c r="I130" i="1"/>
  <c r="G132" i="1" l="1"/>
  <c r="H132" i="1" s="1"/>
  <c r="I131" i="1"/>
  <c r="G133" i="1" l="1"/>
  <c r="H133" i="1" s="1"/>
  <c r="I132" i="1"/>
  <c r="G134" i="1" l="1"/>
  <c r="H134" i="1" s="1"/>
  <c r="I133" i="1"/>
  <c r="G135" i="1" l="1"/>
  <c r="H135" i="1" s="1"/>
  <c r="I134" i="1"/>
  <c r="G136" i="1" l="1"/>
  <c r="H136" i="1" s="1"/>
  <c r="I135" i="1"/>
  <c r="G137" i="1" l="1"/>
  <c r="H137" i="1" s="1"/>
  <c r="I136" i="1"/>
  <c r="G138" i="1" l="1"/>
  <c r="H138" i="1" s="1"/>
  <c r="I137" i="1"/>
  <c r="G139" i="1" l="1"/>
  <c r="H139" i="1" s="1"/>
  <c r="I138" i="1"/>
  <c r="G140" i="1" l="1"/>
  <c r="H140" i="1" s="1"/>
  <c r="I139" i="1"/>
  <c r="G141" i="1" l="1"/>
  <c r="H141" i="1" s="1"/>
  <c r="I140" i="1"/>
  <c r="G142" i="1" l="1"/>
  <c r="H142" i="1" s="1"/>
  <c r="I141" i="1"/>
  <c r="G143" i="1" l="1"/>
  <c r="H143" i="1" s="1"/>
  <c r="I142" i="1"/>
  <c r="G144" i="1" l="1"/>
  <c r="H144" i="1" s="1"/>
  <c r="I143" i="1"/>
  <c r="G145" i="1" l="1"/>
  <c r="H145" i="1" s="1"/>
  <c r="I144" i="1"/>
  <c r="G146" i="1" l="1"/>
  <c r="H146" i="1" s="1"/>
  <c r="I145" i="1"/>
  <c r="G147" i="1" l="1"/>
  <c r="H147" i="1" s="1"/>
  <c r="I146" i="1"/>
  <c r="G148" i="1" l="1"/>
  <c r="H148" i="1" s="1"/>
  <c r="I147" i="1"/>
  <c r="G149" i="1" l="1"/>
  <c r="H149" i="1" s="1"/>
  <c r="I148" i="1"/>
  <c r="G150" i="1" l="1"/>
  <c r="H150" i="1" s="1"/>
  <c r="I149" i="1"/>
  <c r="G151" i="1" l="1"/>
  <c r="H151" i="1" s="1"/>
  <c r="I150" i="1"/>
  <c r="G152" i="1" l="1"/>
  <c r="H152" i="1" s="1"/>
  <c r="I151" i="1"/>
  <c r="G153" i="1" l="1"/>
  <c r="H153" i="1" s="1"/>
  <c r="I152" i="1"/>
  <c r="G154" i="1" l="1"/>
  <c r="H154" i="1" s="1"/>
  <c r="I153" i="1"/>
  <c r="G155" i="1" l="1"/>
  <c r="H155" i="1" s="1"/>
  <c r="I154" i="1"/>
  <c r="G156" i="1" l="1"/>
  <c r="H156" i="1" s="1"/>
  <c r="I155" i="1"/>
  <c r="G157" i="1" l="1"/>
  <c r="H157" i="1" s="1"/>
  <c r="I156" i="1"/>
  <c r="G158" i="1" l="1"/>
  <c r="H158" i="1" s="1"/>
  <c r="I157" i="1"/>
  <c r="G159" i="1" l="1"/>
  <c r="H159" i="1" s="1"/>
  <c r="I158" i="1"/>
  <c r="G160" i="1" l="1"/>
  <c r="H160" i="1" s="1"/>
  <c r="I159" i="1"/>
  <c r="G161" i="1" l="1"/>
  <c r="H161" i="1" s="1"/>
  <c r="I160" i="1"/>
  <c r="G162" i="1" l="1"/>
  <c r="H162" i="1" s="1"/>
  <c r="I161" i="1"/>
  <c r="G163" i="1" l="1"/>
  <c r="H163" i="1" s="1"/>
  <c r="I162" i="1"/>
  <c r="G164" i="1" l="1"/>
  <c r="H164" i="1" s="1"/>
  <c r="I163" i="1"/>
  <c r="G165" i="1" l="1"/>
  <c r="H165" i="1" s="1"/>
  <c r="I164" i="1"/>
  <c r="G166" i="1" l="1"/>
  <c r="H166" i="1" s="1"/>
  <c r="I165" i="1"/>
  <c r="G167" i="1" l="1"/>
  <c r="H167" i="1" s="1"/>
  <c r="I166" i="1"/>
  <c r="G168" i="1" l="1"/>
  <c r="H168" i="1" s="1"/>
  <c r="I167" i="1"/>
  <c r="G169" i="1" l="1"/>
  <c r="H169" i="1" s="1"/>
  <c r="I168" i="1"/>
  <c r="G170" i="1" l="1"/>
  <c r="H170" i="1" s="1"/>
  <c r="I169" i="1"/>
  <c r="G171" i="1" l="1"/>
  <c r="H171" i="1" s="1"/>
  <c r="I170" i="1"/>
  <c r="G172" i="1" l="1"/>
  <c r="H172" i="1" s="1"/>
  <c r="I171" i="1"/>
  <c r="G173" i="1" l="1"/>
  <c r="H173" i="1" s="1"/>
  <c r="I172" i="1"/>
  <c r="G174" i="1" l="1"/>
  <c r="H174" i="1" s="1"/>
  <c r="I173" i="1"/>
  <c r="G175" i="1" l="1"/>
  <c r="H175" i="1" s="1"/>
  <c r="I174" i="1"/>
  <c r="G176" i="1" l="1"/>
  <c r="H176" i="1" s="1"/>
  <c r="I175" i="1"/>
  <c r="G177" i="1" l="1"/>
  <c r="H177" i="1" s="1"/>
  <c r="I176" i="1"/>
  <c r="G178" i="1" l="1"/>
  <c r="H178" i="1" s="1"/>
  <c r="I177" i="1"/>
  <c r="G179" i="1" l="1"/>
  <c r="H179" i="1" s="1"/>
  <c r="I178" i="1"/>
  <c r="G180" i="1" l="1"/>
  <c r="H180" i="1" s="1"/>
  <c r="I179" i="1"/>
  <c r="G181" i="1" l="1"/>
  <c r="H181" i="1" s="1"/>
  <c r="I180" i="1"/>
  <c r="G182" i="1" l="1"/>
  <c r="H182" i="1" s="1"/>
  <c r="I181" i="1"/>
  <c r="G183" i="1" l="1"/>
  <c r="H183" i="1" s="1"/>
  <c r="I182" i="1"/>
  <c r="G184" i="1" l="1"/>
  <c r="H184" i="1" s="1"/>
  <c r="I183" i="1"/>
  <c r="G185" i="1" l="1"/>
  <c r="H185" i="1" s="1"/>
  <c r="I184" i="1"/>
  <c r="G186" i="1" l="1"/>
  <c r="H186" i="1" s="1"/>
  <c r="I185" i="1"/>
  <c r="G187" i="1" l="1"/>
  <c r="H187" i="1" s="1"/>
  <c r="I186" i="1"/>
  <c r="G188" i="1" l="1"/>
  <c r="H188" i="1" s="1"/>
  <c r="I187" i="1"/>
  <c r="G189" i="1" l="1"/>
  <c r="H189" i="1" s="1"/>
  <c r="I188" i="1"/>
  <c r="G190" i="1" l="1"/>
  <c r="H190" i="1" s="1"/>
  <c r="I189" i="1"/>
  <c r="G191" i="1" l="1"/>
  <c r="H191" i="1" s="1"/>
  <c r="I190" i="1"/>
  <c r="G192" i="1" l="1"/>
  <c r="H192" i="1" s="1"/>
  <c r="I192" i="1" s="1"/>
  <c r="I191" i="1"/>
  <c r="G193" i="1" l="1"/>
  <c r="H193" i="1" s="1"/>
  <c r="G194" i="1" l="1"/>
  <c r="H194" i="1" s="1"/>
  <c r="I194" i="1" s="1"/>
  <c r="I193" i="1"/>
  <c r="G195" i="1" l="1"/>
  <c r="H195" i="1" s="1"/>
  <c r="G196" i="1" l="1"/>
  <c r="H196" i="1" s="1"/>
  <c r="I195" i="1"/>
  <c r="G197" i="1" l="1"/>
  <c r="H197" i="1" s="1"/>
  <c r="I196" i="1"/>
  <c r="G198" i="1" l="1"/>
  <c r="H198" i="1" s="1"/>
  <c r="I197" i="1"/>
  <c r="G199" i="1" l="1"/>
  <c r="H199" i="1" s="1"/>
  <c r="I198" i="1"/>
  <c r="G200" i="1" l="1"/>
  <c r="H200" i="1" s="1"/>
  <c r="I199" i="1"/>
  <c r="G201" i="1" l="1"/>
  <c r="H201" i="1" s="1"/>
  <c r="I200" i="1"/>
  <c r="G202" i="1" l="1"/>
  <c r="H202" i="1" s="1"/>
  <c r="I201" i="1"/>
  <c r="G203" i="1" l="1"/>
  <c r="H203" i="1" s="1"/>
  <c r="I202" i="1"/>
  <c r="G204" i="1" l="1"/>
  <c r="H204" i="1" s="1"/>
  <c r="I203" i="1"/>
  <c r="G205" i="1" l="1"/>
  <c r="H205" i="1" s="1"/>
  <c r="I204" i="1"/>
  <c r="I205" i="1" l="1"/>
  <c r="G206" i="1"/>
  <c r="H206" i="1" s="1"/>
  <c r="G207" i="1" l="1"/>
  <c r="H207" i="1" s="1"/>
  <c r="I206" i="1"/>
  <c r="G208" i="1" l="1"/>
  <c r="H208" i="1" s="1"/>
  <c r="I207" i="1"/>
  <c r="G209" i="1" l="1"/>
  <c r="H209" i="1" s="1"/>
  <c r="I208" i="1"/>
  <c r="G210" i="1" l="1"/>
  <c r="H210" i="1" s="1"/>
  <c r="I209" i="1"/>
  <c r="G211" i="1" l="1"/>
  <c r="H211" i="1" s="1"/>
  <c r="I210" i="1"/>
  <c r="G212" i="1" l="1"/>
  <c r="H212" i="1" s="1"/>
  <c r="I211" i="1"/>
  <c r="G213" i="1" l="1"/>
  <c r="H213" i="1" s="1"/>
  <c r="I212" i="1"/>
  <c r="G214" i="1" l="1"/>
  <c r="H214" i="1" s="1"/>
  <c r="I213" i="1"/>
  <c r="G215" i="1" l="1"/>
  <c r="H215" i="1" s="1"/>
  <c r="I214" i="1"/>
  <c r="G216" i="1" l="1"/>
  <c r="H216" i="1" s="1"/>
  <c r="I215" i="1"/>
  <c r="G217" i="1" l="1"/>
  <c r="H217" i="1" s="1"/>
  <c r="I216" i="1"/>
  <c r="G218" i="1" l="1"/>
  <c r="H218" i="1" s="1"/>
  <c r="I217" i="1"/>
  <c r="G219" i="1" l="1"/>
  <c r="H219" i="1" s="1"/>
  <c r="I218" i="1"/>
  <c r="G220" i="1" l="1"/>
  <c r="H220" i="1" s="1"/>
  <c r="I219" i="1"/>
  <c r="G221" i="1" l="1"/>
  <c r="H221" i="1" s="1"/>
  <c r="I220" i="1"/>
  <c r="G222" i="1" l="1"/>
  <c r="H222" i="1" s="1"/>
  <c r="I221" i="1"/>
  <c r="G223" i="1" l="1"/>
  <c r="H223" i="1" s="1"/>
  <c r="I222" i="1"/>
  <c r="G224" i="1" l="1"/>
  <c r="H224" i="1" s="1"/>
  <c r="I223" i="1"/>
  <c r="G225" i="1" l="1"/>
  <c r="H225" i="1" s="1"/>
  <c r="I224" i="1"/>
  <c r="G226" i="1" l="1"/>
  <c r="H226" i="1" s="1"/>
  <c r="I225" i="1"/>
  <c r="G227" i="1" l="1"/>
  <c r="H227" i="1" s="1"/>
  <c r="I226" i="1"/>
  <c r="G228" i="1" l="1"/>
  <c r="H228" i="1" s="1"/>
  <c r="I227" i="1"/>
  <c r="G229" i="1" l="1"/>
  <c r="H229" i="1" s="1"/>
  <c r="I228" i="1"/>
  <c r="G230" i="1" l="1"/>
  <c r="H230" i="1" s="1"/>
  <c r="I229" i="1"/>
  <c r="G231" i="1" l="1"/>
  <c r="H231" i="1" s="1"/>
  <c r="I230" i="1"/>
  <c r="G232" i="1" l="1"/>
  <c r="H232" i="1" s="1"/>
  <c r="I232" i="1" s="1"/>
  <c r="I231" i="1"/>
  <c r="G233" i="1" l="1"/>
  <c r="H233" i="1" s="1"/>
  <c r="G234" i="1" l="1"/>
  <c r="H234" i="1" s="1"/>
  <c r="I233" i="1"/>
  <c r="G235" i="1" l="1"/>
  <c r="H235" i="1" s="1"/>
  <c r="I234" i="1"/>
  <c r="G236" i="1" l="1"/>
  <c r="H236" i="1" s="1"/>
  <c r="I235" i="1"/>
  <c r="G237" i="1" l="1"/>
  <c r="H237" i="1" s="1"/>
  <c r="I236" i="1"/>
  <c r="G238" i="1" l="1"/>
  <c r="H238" i="1" s="1"/>
  <c r="I237" i="1"/>
  <c r="G239" i="1" l="1"/>
  <c r="H239" i="1" s="1"/>
  <c r="I238" i="1"/>
  <c r="G240" i="1" l="1"/>
  <c r="H240" i="1" s="1"/>
  <c r="I239" i="1"/>
  <c r="G241" i="1" l="1"/>
  <c r="H241" i="1" s="1"/>
  <c r="I240" i="1"/>
  <c r="G242" i="1" l="1"/>
  <c r="H242" i="1" s="1"/>
  <c r="I241" i="1"/>
  <c r="G243" i="1" l="1"/>
  <c r="H243" i="1" s="1"/>
  <c r="I242" i="1"/>
  <c r="G244" i="1" l="1"/>
  <c r="H244" i="1" s="1"/>
  <c r="I243" i="1"/>
  <c r="G245" i="1" l="1"/>
  <c r="H245" i="1" s="1"/>
  <c r="I244" i="1"/>
  <c r="G246" i="1" l="1"/>
  <c r="H246" i="1" s="1"/>
  <c r="I245" i="1"/>
  <c r="G247" i="1" l="1"/>
  <c r="H247" i="1" s="1"/>
  <c r="I246" i="1"/>
  <c r="G248" i="1" l="1"/>
  <c r="H248" i="1" s="1"/>
  <c r="I247" i="1"/>
  <c r="G249" i="1" l="1"/>
  <c r="H249" i="1" s="1"/>
  <c r="I248" i="1"/>
  <c r="G250" i="1" l="1"/>
  <c r="H250" i="1" s="1"/>
  <c r="I249" i="1"/>
  <c r="G251" i="1" l="1"/>
  <c r="H251" i="1" s="1"/>
  <c r="I250" i="1"/>
  <c r="G252" i="1" l="1"/>
  <c r="H252" i="1" s="1"/>
  <c r="I251" i="1"/>
  <c r="G253" i="1" l="1"/>
  <c r="H253" i="1" s="1"/>
  <c r="I252" i="1"/>
  <c r="G254" i="1" l="1"/>
  <c r="H254" i="1" s="1"/>
  <c r="I253" i="1"/>
  <c r="G255" i="1" l="1"/>
  <c r="H255" i="1" s="1"/>
  <c r="I255" i="1" s="1"/>
  <c r="I254" i="1"/>
  <c r="G256" i="1" l="1"/>
  <c r="H256" i="1" s="1"/>
  <c r="G257" i="1" l="1"/>
  <c r="H257" i="1" s="1"/>
  <c r="I256" i="1"/>
  <c r="G258" i="1" l="1"/>
  <c r="I257" i="1"/>
  <c r="H258" i="1"/>
  <c r="G259" i="1" l="1"/>
  <c r="H259" i="1" s="1"/>
  <c r="I258" i="1"/>
  <c r="G260" i="1" l="1"/>
  <c r="H260" i="1" s="1"/>
  <c r="I259" i="1"/>
  <c r="G261" i="1" l="1"/>
  <c r="H261" i="1" s="1"/>
  <c r="I260" i="1"/>
  <c r="G262" i="1" l="1"/>
  <c r="H262" i="1" s="1"/>
  <c r="I261" i="1"/>
  <c r="G263" i="1" l="1"/>
  <c r="H263" i="1" s="1"/>
  <c r="I262" i="1"/>
  <c r="G264" i="1" l="1"/>
  <c r="H264" i="1" s="1"/>
  <c r="I263" i="1"/>
  <c r="G265" i="1" l="1"/>
  <c r="H265" i="1" s="1"/>
  <c r="I264" i="1"/>
  <c r="G266" i="1" l="1"/>
  <c r="H266" i="1" s="1"/>
  <c r="I265" i="1"/>
  <c r="G267" i="1" l="1"/>
  <c r="H267" i="1" s="1"/>
  <c r="I266" i="1"/>
  <c r="G268" i="1" l="1"/>
  <c r="H268" i="1" s="1"/>
  <c r="I267" i="1"/>
  <c r="G269" i="1" l="1"/>
  <c r="H269" i="1" s="1"/>
  <c r="I268" i="1"/>
  <c r="G270" i="1" l="1"/>
  <c r="H270" i="1" s="1"/>
  <c r="I269" i="1"/>
  <c r="G271" i="1" l="1"/>
  <c r="H271" i="1" s="1"/>
  <c r="I270" i="1"/>
  <c r="G272" i="1" l="1"/>
  <c r="H272" i="1" s="1"/>
  <c r="I271" i="1"/>
  <c r="G273" i="1" l="1"/>
  <c r="H273" i="1" s="1"/>
  <c r="I272" i="1"/>
  <c r="G274" i="1" l="1"/>
  <c r="H274" i="1" s="1"/>
  <c r="I273" i="1"/>
  <c r="G275" i="1" l="1"/>
  <c r="H275" i="1" s="1"/>
  <c r="I274" i="1"/>
  <c r="G276" i="1" l="1"/>
  <c r="H276" i="1" s="1"/>
  <c r="I275" i="1"/>
  <c r="G277" i="1" l="1"/>
  <c r="H277" i="1" s="1"/>
  <c r="I276" i="1"/>
  <c r="G278" i="1" l="1"/>
  <c r="H278" i="1" s="1"/>
  <c r="I277" i="1"/>
  <c r="G279" i="1" l="1"/>
  <c r="H279" i="1" s="1"/>
  <c r="I278" i="1"/>
  <c r="G280" i="1" l="1"/>
  <c r="H280" i="1" s="1"/>
  <c r="I279" i="1"/>
  <c r="G281" i="1" l="1"/>
  <c r="H281" i="1" s="1"/>
  <c r="I280" i="1"/>
  <c r="G282" i="1" l="1"/>
  <c r="H282" i="1" s="1"/>
  <c r="I281" i="1"/>
  <c r="G283" i="1" l="1"/>
  <c r="H283" i="1" s="1"/>
  <c r="I282" i="1"/>
  <c r="G284" i="1" l="1"/>
  <c r="H284" i="1" s="1"/>
  <c r="I283" i="1"/>
  <c r="G285" i="1" l="1"/>
  <c r="H285" i="1" s="1"/>
  <c r="I284" i="1"/>
  <c r="G286" i="1" l="1"/>
  <c r="H286" i="1" s="1"/>
  <c r="I285" i="1"/>
  <c r="G287" i="1" l="1"/>
  <c r="H287" i="1" s="1"/>
  <c r="I286" i="1"/>
  <c r="G288" i="1" l="1"/>
  <c r="H288" i="1" s="1"/>
  <c r="I287" i="1"/>
  <c r="G289" i="1" l="1"/>
  <c r="H289" i="1" s="1"/>
  <c r="I288" i="1"/>
  <c r="G290" i="1" l="1"/>
  <c r="H290" i="1" s="1"/>
  <c r="I289" i="1"/>
  <c r="G291" i="1" l="1"/>
  <c r="H291" i="1" s="1"/>
  <c r="I290" i="1"/>
  <c r="G292" i="1" l="1"/>
  <c r="H292" i="1" s="1"/>
  <c r="I291" i="1"/>
  <c r="I292" i="1" l="1"/>
  <c r="G293" i="1"/>
  <c r="H293" i="1" s="1"/>
  <c r="G294" i="1" l="1"/>
  <c r="H294" i="1" s="1"/>
  <c r="I293" i="1"/>
  <c r="G295" i="1" l="1"/>
  <c r="H295" i="1" s="1"/>
  <c r="I294" i="1"/>
  <c r="G296" i="1" l="1"/>
  <c r="H296" i="1" s="1"/>
  <c r="I296" i="1" s="1"/>
  <c r="I295" i="1"/>
  <c r="G297" i="1" l="1"/>
  <c r="H297" i="1" s="1"/>
  <c r="I297" i="1" l="1"/>
  <c r="G298" i="1"/>
  <c r="H298" i="1" s="1"/>
  <c r="G299" i="1" l="1"/>
  <c r="H299" i="1" s="1"/>
  <c r="I298" i="1"/>
  <c r="G300" i="1" l="1"/>
  <c r="H300" i="1" s="1"/>
  <c r="I300" i="1" s="1"/>
  <c r="I299" i="1"/>
  <c r="G301" i="1" l="1"/>
  <c r="H301" i="1" s="1"/>
  <c r="G302" i="1" l="1"/>
  <c r="H302" i="1" s="1"/>
  <c r="I301" i="1"/>
  <c r="G303" i="1" l="1"/>
  <c r="H303" i="1" s="1"/>
  <c r="I302" i="1"/>
  <c r="G304" i="1" l="1"/>
  <c r="H304" i="1" s="1"/>
  <c r="I303" i="1"/>
  <c r="G305" i="1" l="1"/>
  <c r="H305" i="1" s="1"/>
  <c r="I304" i="1"/>
  <c r="G306" i="1" l="1"/>
  <c r="H306" i="1" s="1"/>
  <c r="I305" i="1"/>
  <c r="G307" i="1" l="1"/>
  <c r="H307" i="1" s="1"/>
  <c r="I306" i="1"/>
  <c r="G308" i="1" l="1"/>
  <c r="H308" i="1" s="1"/>
  <c r="I307" i="1"/>
  <c r="G309" i="1" l="1"/>
  <c r="H309" i="1" s="1"/>
  <c r="I308" i="1"/>
  <c r="G310" i="1" l="1"/>
  <c r="H310" i="1" s="1"/>
  <c r="I310" i="1" s="1"/>
  <c r="I309" i="1"/>
  <c r="G311" i="1" l="1"/>
  <c r="H311" i="1" s="1"/>
  <c r="G312" i="1" l="1"/>
  <c r="H312" i="1" s="1"/>
  <c r="I311" i="1"/>
  <c r="I312" i="1" l="1"/>
  <c r="G313" i="1"/>
  <c r="H313" i="1" s="1"/>
  <c r="G314" i="1" l="1"/>
  <c r="H314" i="1" s="1"/>
  <c r="I313" i="1"/>
  <c r="G315" i="1" l="1"/>
  <c r="H315" i="1" s="1"/>
  <c r="I314" i="1"/>
  <c r="G316" i="1" l="1"/>
  <c r="H316" i="1" s="1"/>
  <c r="I315" i="1"/>
  <c r="G317" i="1" l="1"/>
  <c r="H317" i="1" s="1"/>
  <c r="I316" i="1"/>
  <c r="G318" i="1" l="1"/>
  <c r="H318" i="1" s="1"/>
  <c r="I317" i="1"/>
  <c r="G319" i="1" l="1"/>
  <c r="H319" i="1" s="1"/>
  <c r="I318" i="1"/>
  <c r="G320" i="1" l="1"/>
  <c r="H320" i="1" s="1"/>
  <c r="I319" i="1"/>
  <c r="G321" i="1" l="1"/>
  <c r="H321" i="1" s="1"/>
  <c r="I320" i="1"/>
  <c r="G322" i="1" l="1"/>
  <c r="H322" i="1" s="1"/>
  <c r="I321" i="1"/>
  <c r="G323" i="1" l="1"/>
  <c r="H323" i="1" s="1"/>
  <c r="I322" i="1"/>
  <c r="G324" i="1" l="1"/>
  <c r="H324" i="1" s="1"/>
  <c r="I323" i="1"/>
  <c r="G325" i="1" l="1"/>
  <c r="H325" i="1" s="1"/>
  <c r="I324" i="1"/>
  <c r="G326" i="1" l="1"/>
  <c r="H326" i="1" s="1"/>
  <c r="I325" i="1"/>
  <c r="G327" i="1" l="1"/>
  <c r="H327" i="1" s="1"/>
  <c r="I326" i="1"/>
  <c r="G328" i="1" l="1"/>
  <c r="H328" i="1" s="1"/>
  <c r="I327" i="1"/>
  <c r="G329" i="1" l="1"/>
  <c r="H329" i="1" s="1"/>
  <c r="I328" i="1"/>
  <c r="G330" i="1" l="1"/>
  <c r="H330" i="1" s="1"/>
  <c r="I329" i="1"/>
  <c r="G331" i="1" l="1"/>
  <c r="H331" i="1" s="1"/>
  <c r="I330" i="1"/>
  <c r="G332" i="1" l="1"/>
  <c r="H332" i="1" s="1"/>
  <c r="I331" i="1"/>
  <c r="G333" i="1" l="1"/>
  <c r="H333" i="1" s="1"/>
  <c r="I332" i="1"/>
  <c r="G334" i="1" l="1"/>
  <c r="H334" i="1" s="1"/>
  <c r="I333" i="1"/>
  <c r="G335" i="1" l="1"/>
  <c r="H335" i="1" s="1"/>
  <c r="I334" i="1"/>
  <c r="G336" i="1" l="1"/>
  <c r="H336" i="1" s="1"/>
  <c r="I335" i="1"/>
  <c r="G337" i="1" l="1"/>
  <c r="H337" i="1" s="1"/>
  <c r="I336" i="1"/>
  <c r="G338" i="1" l="1"/>
  <c r="H338" i="1" s="1"/>
  <c r="I337" i="1"/>
  <c r="G339" i="1" l="1"/>
  <c r="H339" i="1" s="1"/>
  <c r="I338" i="1"/>
  <c r="G340" i="1" l="1"/>
  <c r="H340" i="1" s="1"/>
  <c r="I339" i="1"/>
  <c r="G341" i="1" l="1"/>
  <c r="H341" i="1" s="1"/>
  <c r="I340" i="1"/>
  <c r="G342" i="1" l="1"/>
  <c r="H342" i="1" s="1"/>
  <c r="I341" i="1"/>
  <c r="G343" i="1" l="1"/>
  <c r="H343" i="1" s="1"/>
  <c r="I342" i="1"/>
  <c r="G344" i="1" l="1"/>
  <c r="H344" i="1" s="1"/>
  <c r="I343" i="1"/>
  <c r="G345" i="1" l="1"/>
  <c r="H345" i="1" s="1"/>
  <c r="I344" i="1"/>
  <c r="G346" i="1" l="1"/>
  <c r="H346" i="1" s="1"/>
  <c r="I345" i="1"/>
  <c r="G347" i="1" l="1"/>
  <c r="H347" i="1" s="1"/>
  <c r="I346" i="1"/>
  <c r="G348" i="1" l="1"/>
  <c r="H348" i="1" s="1"/>
  <c r="I347" i="1"/>
  <c r="G349" i="1" l="1"/>
  <c r="H349" i="1" s="1"/>
  <c r="I348" i="1"/>
  <c r="G350" i="1" l="1"/>
  <c r="H350" i="1" s="1"/>
  <c r="I349" i="1"/>
  <c r="G351" i="1" l="1"/>
  <c r="H351" i="1" s="1"/>
  <c r="I350" i="1"/>
  <c r="G352" i="1" l="1"/>
  <c r="H352" i="1" s="1"/>
  <c r="I351" i="1"/>
  <c r="G353" i="1" l="1"/>
  <c r="H353" i="1" s="1"/>
  <c r="I352" i="1"/>
  <c r="G354" i="1" l="1"/>
  <c r="H354" i="1" s="1"/>
  <c r="I353" i="1"/>
  <c r="G355" i="1" l="1"/>
  <c r="H355" i="1" s="1"/>
  <c r="I354" i="1"/>
  <c r="G356" i="1" l="1"/>
  <c r="H356" i="1" s="1"/>
  <c r="I355" i="1"/>
  <c r="G357" i="1" l="1"/>
  <c r="H357" i="1" s="1"/>
  <c r="I356" i="1"/>
  <c r="G358" i="1" l="1"/>
  <c r="H358" i="1" s="1"/>
  <c r="I357" i="1"/>
  <c r="G359" i="1" l="1"/>
  <c r="H359" i="1" s="1"/>
  <c r="I358" i="1"/>
  <c r="G360" i="1" l="1"/>
  <c r="H360" i="1" s="1"/>
  <c r="I359" i="1"/>
  <c r="G361" i="1" l="1"/>
  <c r="H361" i="1" s="1"/>
  <c r="I360" i="1"/>
  <c r="G362" i="1" l="1"/>
  <c r="H362" i="1" s="1"/>
  <c r="I361" i="1"/>
  <c r="G363" i="1" l="1"/>
  <c r="I362" i="1"/>
  <c r="H363" i="1"/>
  <c r="G364" i="1" l="1"/>
  <c r="H364" i="1" s="1"/>
  <c r="I363" i="1"/>
  <c r="G365" i="1" l="1"/>
  <c r="H365" i="1" s="1"/>
  <c r="I364" i="1"/>
  <c r="G366" i="1" l="1"/>
  <c r="H366" i="1" s="1"/>
  <c r="I365" i="1"/>
  <c r="G367" i="1" l="1"/>
  <c r="H367" i="1" s="1"/>
  <c r="I367" i="1" s="1"/>
  <c r="I366" i="1"/>
  <c r="G368" i="1" l="1"/>
  <c r="H368" i="1" s="1"/>
  <c r="G369" i="1" l="1"/>
  <c r="H369" i="1" s="1"/>
  <c r="I368" i="1"/>
  <c r="G370" i="1" l="1"/>
  <c r="H370" i="1" s="1"/>
  <c r="I369" i="1"/>
  <c r="G371" i="1" l="1"/>
  <c r="H371" i="1" s="1"/>
  <c r="I370" i="1"/>
  <c r="G372" i="1" l="1"/>
  <c r="H372" i="1" s="1"/>
  <c r="I371" i="1"/>
  <c r="G373" i="1" l="1"/>
  <c r="H373" i="1" s="1"/>
  <c r="I372" i="1"/>
  <c r="G374" i="1" l="1"/>
  <c r="H374" i="1" s="1"/>
  <c r="I374" i="1" s="1"/>
  <c r="I373" i="1"/>
  <c r="G375" i="1" l="1"/>
  <c r="H375" i="1" s="1"/>
  <c r="G376" i="1" l="1"/>
  <c r="H376" i="1" s="1"/>
  <c r="I375" i="1"/>
  <c r="G377" i="1" l="1"/>
  <c r="H377" i="1" s="1"/>
  <c r="I376" i="1"/>
  <c r="G378" i="1" l="1"/>
  <c r="H378" i="1" s="1"/>
  <c r="I377" i="1"/>
  <c r="G379" i="1" l="1"/>
  <c r="H379" i="1" s="1"/>
  <c r="I378" i="1"/>
  <c r="G380" i="1" l="1"/>
  <c r="H380" i="1" s="1"/>
  <c r="I379" i="1"/>
  <c r="G381" i="1" l="1"/>
  <c r="H381" i="1" s="1"/>
  <c r="I380" i="1"/>
  <c r="G382" i="1" l="1"/>
  <c r="H382" i="1" s="1"/>
  <c r="I382" i="1" s="1"/>
  <c r="I381" i="1"/>
  <c r="G383" i="1" l="1"/>
  <c r="H383" i="1" s="1"/>
  <c r="G384" i="1" l="1"/>
  <c r="H384" i="1" s="1"/>
  <c r="I383" i="1"/>
  <c r="G385" i="1" l="1"/>
  <c r="H385" i="1" s="1"/>
  <c r="I384" i="1"/>
  <c r="G386" i="1" l="1"/>
  <c r="I385" i="1"/>
  <c r="H386" i="1"/>
  <c r="G387" i="1" l="1"/>
  <c r="H387" i="1" s="1"/>
  <c r="I386" i="1"/>
  <c r="G388" i="1" l="1"/>
  <c r="H388" i="1" s="1"/>
  <c r="I387" i="1"/>
  <c r="G389" i="1" l="1"/>
  <c r="H389" i="1" s="1"/>
  <c r="I388" i="1"/>
  <c r="G390" i="1" l="1"/>
  <c r="H390" i="1" s="1"/>
  <c r="I389" i="1"/>
  <c r="G391" i="1" l="1"/>
  <c r="H391" i="1" s="1"/>
  <c r="I390" i="1"/>
  <c r="G392" i="1" l="1"/>
  <c r="H392" i="1" s="1"/>
  <c r="I391" i="1"/>
  <c r="G393" i="1" l="1"/>
  <c r="H393" i="1" s="1"/>
  <c r="I392" i="1"/>
  <c r="G394" i="1" l="1"/>
  <c r="H394" i="1" s="1"/>
  <c r="I393" i="1"/>
  <c r="G395" i="1" l="1"/>
  <c r="H395" i="1" s="1"/>
  <c r="I394" i="1"/>
  <c r="G396" i="1" l="1"/>
  <c r="H396" i="1" s="1"/>
  <c r="I395" i="1"/>
  <c r="G397" i="1" l="1"/>
  <c r="H397" i="1" s="1"/>
  <c r="I396" i="1"/>
  <c r="G398" i="1" l="1"/>
  <c r="H398" i="1" s="1"/>
  <c r="I397" i="1"/>
  <c r="G399" i="1" l="1"/>
  <c r="H399" i="1" s="1"/>
  <c r="I398" i="1"/>
  <c r="G400" i="1" l="1"/>
  <c r="H400" i="1" s="1"/>
  <c r="I399" i="1"/>
  <c r="G401" i="1" l="1"/>
  <c r="H401" i="1" s="1"/>
  <c r="I400" i="1"/>
  <c r="G402" i="1" l="1"/>
  <c r="H402" i="1" s="1"/>
  <c r="I401" i="1"/>
  <c r="G403" i="1" l="1"/>
  <c r="H403" i="1" s="1"/>
  <c r="I402" i="1"/>
  <c r="G404" i="1" l="1"/>
  <c r="H404" i="1" s="1"/>
  <c r="I403" i="1"/>
  <c r="G405" i="1" l="1"/>
  <c r="H405" i="1" s="1"/>
  <c r="I404" i="1"/>
  <c r="G406" i="1" l="1"/>
  <c r="H406" i="1" s="1"/>
  <c r="I405" i="1"/>
  <c r="G407" i="1" l="1"/>
  <c r="H407" i="1" s="1"/>
  <c r="I406" i="1"/>
  <c r="G408" i="1" l="1"/>
  <c r="H408" i="1" s="1"/>
  <c r="I407" i="1"/>
  <c r="G409" i="1" l="1"/>
  <c r="H409" i="1" s="1"/>
  <c r="I408" i="1"/>
  <c r="G410" i="1" l="1"/>
  <c r="H410" i="1" s="1"/>
  <c r="I409" i="1"/>
  <c r="G411" i="1" l="1"/>
  <c r="H411" i="1" s="1"/>
  <c r="I410" i="1"/>
  <c r="G412" i="1" l="1"/>
  <c r="H412" i="1" s="1"/>
  <c r="I411" i="1"/>
  <c r="G413" i="1" l="1"/>
  <c r="H413" i="1" s="1"/>
  <c r="I412" i="1"/>
  <c r="G414" i="1" l="1"/>
  <c r="H414" i="1" s="1"/>
  <c r="I413" i="1"/>
  <c r="G415" i="1" l="1"/>
  <c r="H415" i="1" s="1"/>
  <c r="I414" i="1"/>
  <c r="G416" i="1" l="1"/>
  <c r="H416" i="1" s="1"/>
  <c r="I415" i="1"/>
  <c r="G417" i="1" l="1"/>
  <c r="H417" i="1" s="1"/>
  <c r="I416" i="1"/>
  <c r="G418" i="1" l="1"/>
  <c r="H418" i="1" s="1"/>
  <c r="I417" i="1"/>
  <c r="G419" i="1" l="1"/>
  <c r="H419" i="1" s="1"/>
  <c r="I418" i="1"/>
  <c r="G420" i="1" l="1"/>
  <c r="H420" i="1" s="1"/>
  <c r="I419" i="1"/>
  <c r="G421" i="1" l="1"/>
  <c r="H421" i="1" s="1"/>
  <c r="I420" i="1"/>
  <c r="G422" i="1" l="1"/>
  <c r="H422" i="1" s="1"/>
  <c r="I422" i="1" s="1"/>
  <c r="I421" i="1"/>
  <c r="G423" i="1" l="1"/>
  <c r="H423" i="1" s="1"/>
  <c r="I423" i="1" l="1"/>
  <c r="G424" i="1"/>
  <c r="H424" i="1" s="1"/>
  <c r="G425" i="1" l="1"/>
  <c r="H425" i="1" s="1"/>
  <c r="I424" i="1"/>
  <c r="G426" i="1" l="1"/>
  <c r="H426" i="1" s="1"/>
  <c r="I425" i="1"/>
  <c r="G427" i="1" l="1"/>
  <c r="H427" i="1" s="1"/>
  <c r="I426" i="1"/>
  <c r="G428" i="1" l="1"/>
  <c r="H428" i="1" s="1"/>
  <c r="I427" i="1"/>
  <c r="G429" i="1" l="1"/>
  <c r="H429" i="1" s="1"/>
  <c r="I428" i="1"/>
  <c r="G430" i="1" l="1"/>
  <c r="H430" i="1" s="1"/>
  <c r="I429" i="1"/>
  <c r="G431" i="1" l="1"/>
  <c r="H431" i="1" s="1"/>
  <c r="I430" i="1"/>
  <c r="G432" i="1" l="1"/>
  <c r="H432" i="1" s="1"/>
  <c r="I431" i="1"/>
  <c r="G433" i="1" l="1"/>
  <c r="H433" i="1" s="1"/>
  <c r="I432" i="1"/>
  <c r="G434" i="1" l="1"/>
  <c r="H434" i="1" s="1"/>
  <c r="I433" i="1"/>
  <c r="G435" i="1" l="1"/>
  <c r="H435" i="1" s="1"/>
  <c r="I434" i="1"/>
  <c r="G436" i="1" l="1"/>
  <c r="H436" i="1" s="1"/>
  <c r="I435" i="1"/>
  <c r="G437" i="1" l="1"/>
  <c r="H437" i="1" s="1"/>
  <c r="I436" i="1"/>
  <c r="G438" i="1" l="1"/>
  <c r="H438" i="1" s="1"/>
  <c r="I437" i="1"/>
  <c r="G439" i="1" l="1"/>
  <c r="H439" i="1" s="1"/>
  <c r="I438" i="1"/>
  <c r="G440" i="1" l="1"/>
  <c r="H440" i="1" s="1"/>
  <c r="I439" i="1"/>
  <c r="G441" i="1" l="1"/>
  <c r="H441" i="1" s="1"/>
  <c r="I440" i="1"/>
  <c r="G442" i="1" l="1"/>
  <c r="H442" i="1" s="1"/>
  <c r="I441" i="1"/>
  <c r="G443" i="1" l="1"/>
  <c r="H443" i="1" s="1"/>
  <c r="I442" i="1"/>
  <c r="G444" i="1" l="1"/>
  <c r="H444" i="1" s="1"/>
  <c r="I443" i="1"/>
  <c r="G445" i="1" l="1"/>
  <c r="H445" i="1" s="1"/>
  <c r="I444" i="1"/>
  <c r="G446" i="1" l="1"/>
  <c r="H446" i="1" s="1"/>
  <c r="I445" i="1"/>
  <c r="G447" i="1" l="1"/>
  <c r="H447" i="1" s="1"/>
  <c r="I446" i="1"/>
  <c r="G448" i="1" l="1"/>
  <c r="H448" i="1" s="1"/>
  <c r="I447" i="1"/>
  <c r="G449" i="1" l="1"/>
  <c r="H449" i="1" s="1"/>
  <c r="I448" i="1"/>
  <c r="G450" i="1" l="1"/>
  <c r="H450" i="1" s="1"/>
  <c r="I449" i="1"/>
  <c r="G451" i="1" l="1"/>
  <c r="H451" i="1" s="1"/>
  <c r="I450" i="1"/>
  <c r="G452" i="1" l="1"/>
  <c r="H452" i="1" s="1"/>
  <c r="I451" i="1"/>
  <c r="G453" i="1" l="1"/>
  <c r="H453" i="1" s="1"/>
  <c r="I452" i="1"/>
  <c r="G454" i="1" l="1"/>
  <c r="H454" i="1" s="1"/>
  <c r="I453" i="1"/>
  <c r="G455" i="1" l="1"/>
  <c r="H455" i="1" s="1"/>
  <c r="I454" i="1"/>
  <c r="G456" i="1" l="1"/>
  <c r="H456" i="1" s="1"/>
  <c r="I455" i="1"/>
  <c r="G457" i="1" l="1"/>
  <c r="H457" i="1" s="1"/>
  <c r="I456" i="1"/>
  <c r="G458" i="1" l="1"/>
  <c r="H458" i="1" s="1"/>
  <c r="I457" i="1"/>
  <c r="G459" i="1" l="1"/>
  <c r="H459" i="1" s="1"/>
  <c r="I458" i="1"/>
  <c r="G460" i="1" l="1"/>
  <c r="H460" i="1" s="1"/>
  <c r="I459" i="1"/>
  <c r="G461" i="1" l="1"/>
  <c r="H461" i="1" s="1"/>
  <c r="I460" i="1"/>
  <c r="G462" i="1" l="1"/>
  <c r="H462" i="1" s="1"/>
  <c r="I461" i="1"/>
  <c r="I462" i="1" l="1"/>
  <c r="G463" i="1"/>
  <c r="H463" i="1" s="1"/>
  <c r="G464" i="1" l="1"/>
  <c r="H464" i="1" s="1"/>
  <c r="I464" i="1" s="1"/>
  <c r="I463" i="1"/>
  <c r="G465" i="1" l="1"/>
  <c r="H465" i="1" s="1"/>
  <c r="G466" i="1" l="1"/>
  <c r="H466" i="1" s="1"/>
  <c r="I466" i="1" s="1"/>
  <c r="I465" i="1"/>
  <c r="G467" i="1" l="1"/>
  <c r="H467" i="1" s="1"/>
  <c r="G468" i="1" l="1"/>
  <c r="H468" i="1" s="1"/>
  <c r="I467" i="1"/>
  <c r="G469" i="1" l="1"/>
  <c r="H469" i="1" s="1"/>
  <c r="I469" i="1" s="1"/>
  <c r="I468" i="1"/>
  <c r="G470" i="1" l="1"/>
  <c r="H470" i="1" s="1"/>
  <c r="I470" i="1" s="1"/>
  <c r="G471" i="1" l="1"/>
  <c r="H471" i="1" s="1"/>
  <c r="G472" i="1" l="1"/>
  <c r="H472" i="1" s="1"/>
  <c r="I472" i="1" s="1"/>
  <c r="I471" i="1"/>
  <c r="G473" i="1" l="1"/>
  <c r="H473" i="1" s="1"/>
  <c r="G474" i="1" l="1"/>
  <c r="H474" i="1" s="1"/>
  <c r="I473" i="1"/>
  <c r="G475" i="1" l="1"/>
  <c r="H475" i="1" s="1"/>
  <c r="I474" i="1"/>
  <c r="G476" i="1" l="1"/>
  <c r="H476" i="1" s="1"/>
  <c r="I475" i="1"/>
  <c r="G477" i="1" l="1"/>
  <c r="H477" i="1" s="1"/>
  <c r="I477" i="1" s="1"/>
  <c r="I476" i="1"/>
  <c r="G478" i="1" l="1"/>
  <c r="H478" i="1" s="1"/>
  <c r="I478" i="1" s="1"/>
  <c r="G479" i="1" l="1"/>
  <c r="H479" i="1" s="1"/>
  <c r="I479" i="1" s="1"/>
  <c r="G480" i="1" l="1"/>
  <c r="H480" i="1" s="1"/>
  <c r="I480" i="1" s="1"/>
  <c r="G481" i="1" l="1"/>
  <c r="H481" i="1" s="1"/>
  <c r="G482" i="1" l="1"/>
  <c r="H482" i="1" s="1"/>
  <c r="I481" i="1"/>
  <c r="G483" i="1" l="1"/>
  <c r="H483" i="1" s="1"/>
  <c r="I482" i="1"/>
  <c r="G484" i="1" l="1"/>
  <c r="H484" i="1" s="1"/>
  <c r="I483" i="1"/>
  <c r="G485" i="1" l="1"/>
  <c r="H485" i="1" s="1"/>
  <c r="I484" i="1"/>
  <c r="G486" i="1" l="1"/>
  <c r="H486" i="1" s="1"/>
  <c r="I485" i="1"/>
  <c r="G487" i="1" l="1"/>
  <c r="H487" i="1" s="1"/>
  <c r="I486" i="1"/>
  <c r="G488" i="1" l="1"/>
  <c r="H488" i="1" s="1"/>
  <c r="I487" i="1"/>
  <c r="G489" i="1" l="1"/>
  <c r="H489" i="1" s="1"/>
  <c r="I488" i="1"/>
  <c r="G490" i="1" l="1"/>
  <c r="H490" i="1" s="1"/>
  <c r="I489" i="1"/>
  <c r="G491" i="1" l="1"/>
  <c r="H491" i="1" s="1"/>
  <c r="I490" i="1"/>
  <c r="G492" i="1" l="1"/>
  <c r="H492" i="1" s="1"/>
  <c r="I491" i="1"/>
  <c r="G493" i="1" l="1"/>
  <c r="H493" i="1" s="1"/>
  <c r="I492" i="1"/>
  <c r="G494" i="1" l="1"/>
  <c r="H494" i="1" s="1"/>
  <c r="I493" i="1"/>
  <c r="G495" i="1" l="1"/>
  <c r="H495" i="1" s="1"/>
  <c r="I494" i="1"/>
  <c r="G496" i="1" l="1"/>
  <c r="H496" i="1" s="1"/>
  <c r="I495" i="1"/>
  <c r="G497" i="1" l="1"/>
  <c r="H497" i="1" s="1"/>
  <c r="I496" i="1"/>
  <c r="G498" i="1" l="1"/>
  <c r="H498" i="1" s="1"/>
  <c r="I497" i="1"/>
  <c r="G499" i="1" l="1"/>
  <c r="H499" i="1" s="1"/>
  <c r="I498" i="1"/>
  <c r="G500" i="1" l="1"/>
  <c r="H500" i="1" s="1"/>
  <c r="I499" i="1"/>
  <c r="G501" i="1" l="1"/>
  <c r="H501" i="1" s="1"/>
  <c r="I500" i="1"/>
  <c r="G502" i="1" l="1"/>
  <c r="H502" i="1" s="1"/>
  <c r="I501" i="1"/>
  <c r="G503" i="1" l="1"/>
  <c r="H503" i="1" s="1"/>
  <c r="I502" i="1"/>
  <c r="G504" i="1" l="1"/>
  <c r="H504" i="1" s="1"/>
  <c r="I503" i="1"/>
  <c r="G505" i="1" l="1"/>
  <c r="H505" i="1" s="1"/>
  <c r="I504" i="1"/>
  <c r="G506" i="1" l="1"/>
  <c r="H506" i="1" s="1"/>
  <c r="I505" i="1"/>
  <c r="G507" i="1" l="1"/>
  <c r="H507" i="1" s="1"/>
  <c r="I506" i="1"/>
  <c r="G508" i="1" l="1"/>
  <c r="H508" i="1" s="1"/>
  <c r="I507" i="1"/>
  <c r="G509" i="1" l="1"/>
  <c r="H509" i="1" s="1"/>
  <c r="I508" i="1"/>
  <c r="G510" i="1" l="1"/>
  <c r="H510" i="1" s="1"/>
  <c r="I509" i="1"/>
  <c r="G511" i="1" l="1"/>
  <c r="H511" i="1" s="1"/>
  <c r="I510" i="1"/>
  <c r="G512" i="1" l="1"/>
  <c r="H512" i="1" s="1"/>
  <c r="I511" i="1"/>
  <c r="I512" i="1" l="1"/>
  <c r="G513" i="1"/>
  <c r="H513" i="1" s="1"/>
  <c r="G514" i="1" l="1"/>
  <c r="H514" i="1" s="1"/>
  <c r="I513" i="1"/>
  <c r="G515" i="1" l="1"/>
  <c r="H515" i="1" s="1"/>
  <c r="I514" i="1"/>
  <c r="G516" i="1" l="1"/>
  <c r="H516" i="1" s="1"/>
  <c r="I515" i="1"/>
  <c r="G517" i="1" l="1"/>
  <c r="H517" i="1" s="1"/>
  <c r="I516" i="1"/>
  <c r="G518" i="1" l="1"/>
  <c r="H518" i="1" s="1"/>
  <c r="I517" i="1"/>
  <c r="G519" i="1" l="1"/>
  <c r="H519" i="1" s="1"/>
  <c r="I518" i="1"/>
  <c r="G520" i="1" l="1"/>
  <c r="H520" i="1" s="1"/>
  <c r="I519" i="1"/>
  <c r="G521" i="1" l="1"/>
  <c r="H521" i="1" s="1"/>
  <c r="I520" i="1"/>
  <c r="G522" i="1" l="1"/>
  <c r="H522" i="1" s="1"/>
  <c r="I521" i="1"/>
  <c r="G523" i="1" l="1"/>
  <c r="H523" i="1" s="1"/>
  <c r="I522" i="1"/>
  <c r="G524" i="1" l="1"/>
  <c r="H524" i="1" s="1"/>
  <c r="I523" i="1"/>
  <c r="G525" i="1" l="1"/>
  <c r="H525" i="1" s="1"/>
  <c r="I524" i="1"/>
  <c r="G526" i="1" l="1"/>
  <c r="H526" i="1" s="1"/>
  <c r="I525" i="1"/>
  <c r="G527" i="1" l="1"/>
  <c r="H527" i="1" s="1"/>
  <c r="I526" i="1"/>
  <c r="G528" i="1" l="1"/>
  <c r="H528" i="1" s="1"/>
  <c r="I527" i="1"/>
  <c r="G529" i="1" l="1"/>
  <c r="H529" i="1" s="1"/>
  <c r="I528" i="1"/>
  <c r="G530" i="1" l="1"/>
  <c r="H530" i="1" s="1"/>
  <c r="I529" i="1"/>
  <c r="G531" i="1" l="1"/>
  <c r="H531" i="1" s="1"/>
  <c r="I530" i="1"/>
  <c r="G532" i="1" l="1"/>
  <c r="H532" i="1" s="1"/>
  <c r="I531" i="1"/>
  <c r="G533" i="1" l="1"/>
  <c r="H533" i="1" s="1"/>
  <c r="I532" i="1"/>
  <c r="G534" i="1" l="1"/>
  <c r="H534" i="1" s="1"/>
  <c r="I533" i="1"/>
  <c r="G535" i="1" l="1"/>
  <c r="H535" i="1" s="1"/>
  <c r="I534" i="1"/>
  <c r="G536" i="1" l="1"/>
  <c r="H536" i="1" s="1"/>
  <c r="I535" i="1"/>
  <c r="G537" i="1" l="1"/>
  <c r="H537" i="1" s="1"/>
  <c r="I536" i="1"/>
  <c r="G538" i="1" l="1"/>
  <c r="H538" i="1" s="1"/>
  <c r="I537" i="1"/>
  <c r="G539" i="1" l="1"/>
  <c r="H539" i="1" s="1"/>
  <c r="I538" i="1"/>
  <c r="G540" i="1" l="1"/>
  <c r="H540" i="1" s="1"/>
  <c r="I539" i="1"/>
  <c r="G541" i="1" l="1"/>
  <c r="H541" i="1" s="1"/>
  <c r="I540" i="1"/>
  <c r="G542" i="1" l="1"/>
  <c r="H542" i="1" s="1"/>
  <c r="I541" i="1"/>
  <c r="G543" i="1" l="1"/>
  <c r="H543" i="1" s="1"/>
  <c r="I542" i="1"/>
  <c r="G544" i="1" l="1"/>
  <c r="H544" i="1" s="1"/>
  <c r="I543" i="1"/>
  <c r="G545" i="1" l="1"/>
  <c r="I544" i="1"/>
  <c r="H545" i="1"/>
  <c r="G546" i="1" l="1"/>
  <c r="H546" i="1" s="1"/>
  <c r="I545" i="1"/>
  <c r="G547" i="1" l="1"/>
  <c r="H547" i="1" s="1"/>
  <c r="I546" i="1"/>
  <c r="G548" i="1" l="1"/>
  <c r="H548" i="1" s="1"/>
  <c r="I547" i="1"/>
  <c r="G549" i="1" l="1"/>
  <c r="H549" i="1" s="1"/>
  <c r="I548" i="1"/>
  <c r="G550" i="1" l="1"/>
  <c r="H550" i="1" s="1"/>
  <c r="I549" i="1"/>
  <c r="G551" i="1" l="1"/>
  <c r="H551" i="1" s="1"/>
  <c r="I550" i="1"/>
  <c r="G552" i="1" l="1"/>
  <c r="H552" i="1" s="1"/>
  <c r="I551" i="1"/>
  <c r="G553" i="1" l="1"/>
  <c r="H553" i="1" s="1"/>
  <c r="I552" i="1"/>
  <c r="G554" i="1" l="1"/>
  <c r="H554" i="1" s="1"/>
  <c r="I553" i="1"/>
  <c r="G555" i="1" l="1"/>
  <c r="H555" i="1" s="1"/>
  <c r="I554" i="1"/>
  <c r="G556" i="1" l="1"/>
  <c r="H556" i="1" s="1"/>
  <c r="I555" i="1"/>
  <c r="G557" i="1" l="1"/>
  <c r="H557" i="1" s="1"/>
  <c r="I556" i="1"/>
  <c r="G558" i="1" l="1"/>
  <c r="H558" i="1" s="1"/>
  <c r="I557" i="1"/>
  <c r="G559" i="1" l="1"/>
  <c r="H559" i="1" s="1"/>
  <c r="I558" i="1"/>
  <c r="G560" i="1" l="1"/>
  <c r="H560" i="1" s="1"/>
  <c r="I559" i="1"/>
  <c r="G561" i="1" l="1"/>
  <c r="H561" i="1" s="1"/>
  <c r="I561" i="1" s="1"/>
  <c r="I560" i="1"/>
  <c r="G562" i="1" l="1"/>
  <c r="H562" i="1" s="1"/>
  <c r="I562" i="1" s="1"/>
  <c r="G563" i="1" l="1"/>
  <c r="H563" i="1" s="1"/>
  <c r="I563" i="1" s="1"/>
  <c r="G564" i="1" l="1"/>
  <c r="H564" i="1" s="1"/>
  <c r="G565" i="1" l="1"/>
  <c r="H565" i="1" s="1"/>
  <c r="I564" i="1"/>
  <c r="G566" i="1" l="1"/>
  <c r="H566" i="1" s="1"/>
  <c r="I565" i="1"/>
  <c r="G567" i="1" l="1"/>
  <c r="H567" i="1" s="1"/>
  <c r="I566" i="1"/>
  <c r="G568" i="1" l="1"/>
  <c r="H568" i="1" s="1"/>
  <c r="I567" i="1"/>
  <c r="G569" i="1" l="1"/>
  <c r="H569" i="1" s="1"/>
  <c r="I568" i="1"/>
  <c r="G570" i="1" l="1"/>
  <c r="H570" i="1" s="1"/>
  <c r="I569" i="1"/>
  <c r="G571" i="1" l="1"/>
  <c r="H571" i="1" s="1"/>
  <c r="I570" i="1"/>
  <c r="G572" i="1" l="1"/>
  <c r="H572" i="1" s="1"/>
  <c r="I571" i="1"/>
  <c r="G573" i="1" l="1"/>
  <c r="H573" i="1" s="1"/>
  <c r="I572" i="1"/>
  <c r="G574" i="1" l="1"/>
  <c r="H574" i="1" s="1"/>
  <c r="I573" i="1"/>
  <c r="G575" i="1" l="1"/>
  <c r="H575" i="1" s="1"/>
  <c r="I574" i="1"/>
  <c r="G576" i="1" l="1"/>
  <c r="H576" i="1" s="1"/>
  <c r="I575" i="1"/>
  <c r="G577" i="1" l="1"/>
  <c r="H577" i="1" s="1"/>
  <c r="I576" i="1"/>
  <c r="G578" i="1" l="1"/>
  <c r="H578" i="1" s="1"/>
  <c r="I577" i="1"/>
  <c r="G579" i="1" l="1"/>
  <c r="H579" i="1" s="1"/>
  <c r="I578" i="1"/>
  <c r="G580" i="1" l="1"/>
  <c r="H580" i="1" s="1"/>
  <c r="I579" i="1"/>
  <c r="G581" i="1" l="1"/>
  <c r="H581" i="1" s="1"/>
  <c r="I580" i="1"/>
  <c r="G582" i="1" l="1"/>
  <c r="H582" i="1" s="1"/>
  <c r="I582" i="1" s="1"/>
  <c r="I581" i="1"/>
  <c r="G583" i="1" l="1"/>
  <c r="H583" i="1" s="1"/>
  <c r="G584" i="1" l="1"/>
  <c r="H584" i="1" s="1"/>
  <c r="I583" i="1"/>
  <c r="G585" i="1" l="1"/>
  <c r="H585" i="1" s="1"/>
  <c r="I584" i="1"/>
  <c r="G586" i="1" l="1"/>
  <c r="H586" i="1" s="1"/>
  <c r="I585" i="1"/>
  <c r="G587" i="1" l="1"/>
  <c r="H587" i="1" s="1"/>
  <c r="I586" i="1"/>
  <c r="G588" i="1" l="1"/>
  <c r="H588" i="1" s="1"/>
  <c r="I587" i="1"/>
  <c r="G589" i="1" l="1"/>
  <c r="H589" i="1" s="1"/>
  <c r="I588" i="1"/>
  <c r="G590" i="1" l="1"/>
  <c r="H590" i="1" s="1"/>
  <c r="I589" i="1"/>
  <c r="G591" i="1" l="1"/>
  <c r="H591" i="1" s="1"/>
  <c r="I591" i="1" s="1"/>
  <c r="I590" i="1"/>
  <c r="G592" i="1" l="1"/>
  <c r="H592" i="1" s="1"/>
  <c r="G593" i="1" l="1"/>
  <c r="H593" i="1" s="1"/>
  <c r="I592" i="1"/>
  <c r="G594" i="1" l="1"/>
  <c r="H594" i="1" s="1"/>
  <c r="I594" i="1" s="1"/>
  <c r="I593" i="1"/>
  <c r="G595" i="1" l="1"/>
  <c r="H595" i="1" s="1"/>
  <c r="G596" i="1" l="1"/>
  <c r="H596" i="1" s="1"/>
  <c r="I595" i="1"/>
  <c r="G597" i="1" l="1"/>
  <c r="H597" i="1" s="1"/>
  <c r="I596" i="1"/>
  <c r="G598" i="1" l="1"/>
  <c r="H598" i="1" s="1"/>
  <c r="I597" i="1"/>
  <c r="G599" i="1" l="1"/>
  <c r="H599" i="1" s="1"/>
  <c r="I598" i="1"/>
  <c r="G600" i="1" l="1"/>
  <c r="H600" i="1" s="1"/>
  <c r="I599" i="1"/>
  <c r="G601" i="1" l="1"/>
  <c r="H601" i="1" s="1"/>
  <c r="I600" i="1"/>
  <c r="G602" i="1" l="1"/>
  <c r="H602" i="1" s="1"/>
  <c r="I601" i="1"/>
  <c r="G603" i="1" l="1"/>
  <c r="H603" i="1" s="1"/>
  <c r="I602" i="1"/>
  <c r="G604" i="1" l="1"/>
  <c r="H604" i="1" s="1"/>
  <c r="I603" i="1"/>
  <c r="G605" i="1" l="1"/>
  <c r="H605" i="1" s="1"/>
  <c r="I604" i="1"/>
  <c r="G606" i="1" l="1"/>
  <c r="H606" i="1" s="1"/>
  <c r="I605" i="1"/>
  <c r="G607" i="1" l="1"/>
  <c r="H607" i="1" s="1"/>
  <c r="I606" i="1"/>
  <c r="G608" i="1" l="1"/>
  <c r="H608" i="1" s="1"/>
  <c r="I607" i="1"/>
  <c r="G609" i="1" l="1"/>
  <c r="H609" i="1" s="1"/>
  <c r="I608" i="1"/>
  <c r="G610" i="1" l="1"/>
  <c r="H610" i="1" s="1"/>
  <c r="I609" i="1"/>
  <c r="G611" i="1" l="1"/>
  <c r="H611" i="1" s="1"/>
  <c r="I610" i="1"/>
  <c r="G612" i="1" l="1"/>
  <c r="H612" i="1" s="1"/>
  <c r="I611" i="1"/>
  <c r="G613" i="1" l="1"/>
  <c r="H613" i="1" s="1"/>
  <c r="I612" i="1"/>
  <c r="G614" i="1" l="1"/>
  <c r="H614" i="1" s="1"/>
  <c r="I613" i="1"/>
  <c r="G615" i="1" l="1"/>
  <c r="H615" i="1" s="1"/>
  <c r="I614" i="1"/>
  <c r="G616" i="1" l="1"/>
  <c r="H616" i="1" s="1"/>
  <c r="I615" i="1"/>
  <c r="G617" i="1" l="1"/>
  <c r="H617" i="1" s="1"/>
  <c r="I616" i="1"/>
  <c r="G618" i="1" l="1"/>
  <c r="H618" i="1" s="1"/>
  <c r="I617" i="1"/>
  <c r="G619" i="1" l="1"/>
  <c r="H619" i="1" s="1"/>
  <c r="I618" i="1"/>
  <c r="G620" i="1" l="1"/>
  <c r="H620" i="1" s="1"/>
  <c r="I619" i="1"/>
  <c r="G621" i="1" l="1"/>
  <c r="H621" i="1" s="1"/>
  <c r="I620" i="1"/>
  <c r="G622" i="1" l="1"/>
  <c r="H622" i="1" s="1"/>
  <c r="I621" i="1"/>
  <c r="G623" i="1" l="1"/>
  <c r="H623" i="1" s="1"/>
  <c r="I622" i="1"/>
  <c r="G624" i="1" l="1"/>
  <c r="H624" i="1" s="1"/>
  <c r="I623" i="1"/>
  <c r="I624" i="1" l="1"/>
  <c r="G625" i="1"/>
  <c r="H625" i="1" s="1"/>
  <c r="G626" i="1" l="1"/>
  <c r="H626" i="1" s="1"/>
  <c r="I625" i="1"/>
  <c r="G627" i="1" l="1"/>
  <c r="H627" i="1" s="1"/>
  <c r="I626" i="1"/>
  <c r="G628" i="1" l="1"/>
  <c r="H628" i="1" s="1"/>
  <c r="I627" i="1"/>
  <c r="G629" i="1" l="1"/>
  <c r="H629" i="1" s="1"/>
  <c r="I628" i="1"/>
  <c r="G630" i="1" l="1"/>
  <c r="H630" i="1" s="1"/>
  <c r="I629" i="1"/>
  <c r="G631" i="1" l="1"/>
  <c r="H631" i="1" s="1"/>
  <c r="I630" i="1"/>
  <c r="G632" i="1" l="1"/>
  <c r="H632" i="1" s="1"/>
  <c r="I631" i="1"/>
  <c r="G633" i="1" l="1"/>
  <c r="H633" i="1" s="1"/>
  <c r="I632" i="1"/>
  <c r="G634" i="1" l="1"/>
  <c r="H634" i="1" s="1"/>
  <c r="I633" i="1"/>
  <c r="G635" i="1" l="1"/>
  <c r="H635" i="1" s="1"/>
  <c r="I634" i="1"/>
  <c r="G636" i="1" l="1"/>
  <c r="H636" i="1" s="1"/>
  <c r="I635" i="1"/>
  <c r="G637" i="1" l="1"/>
  <c r="H637" i="1" s="1"/>
  <c r="I636" i="1"/>
  <c r="G638" i="1" l="1"/>
  <c r="H638" i="1" s="1"/>
  <c r="I637" i="1"/>
  <c r="G639" i="1" l="1"/>
  <c r="H639" i="1" s="1"/>
  <c r="I638" i="1"/>
  <c r="G640" i="1" l="1"/>
  <c r="H640" i="1" s="1"/>
  <c r="I639" i="1"/>
  <c r="G641" i="1" l="1"/>
  <c r="H641" i="1" s="1"/>
  <c r="I640" i="1"/>
  <c r="G642" i="1" l="1"/>
  <c r="H642" i="1" s="1"/>
  <c r="I641" i="1"/>
  <c r="G643" i="1" l="1"/>
  <c r="H643" i="1" s="1"/>
  <c r="I642" i="1"/>
  <c r="G644" i="1" l="1"/>
  <c r="H644" i="1" s="1"/>
  <c r="I643" i="1"/>
  <c r="G645" i="1" l="1"/>
  <c r="H645" i="1" s="1"/>
  <c r="I644" i="1"/>
  <c r="G646" i="1" l="1"/>
  <c r="I645" i="1"/>
  <c r="H646" i="1"/>
  <c r="G647" i="1" l="1"/>
  <c r="H647" i="1" s="1"/>
  <c r="I646" i="1"/>
  <c r="G648" i="1" l="1"/>
  <c r="H648" i="1" s="1"/>
  <c r="I647" i="1"/>
  <c r="G649" i="1" l="1"/>
  <c r="H649" i="1" s="1"/>
  <c r="I648" i="1"/>
  <c r="G650" i="1" l="1"/>
  <c r="I649" i="1"/>
  <c r="H650" i="1"/>
  <c r="G651" i="1" l="1"/>
  <c r="H651" i="1" s="1"/>
  <c r="I650" i="1"/>
  <c r="G652" i="1" l="1"/>
  <c r="H652" i="1" s="1"/>
  <c r="I651" i="1"/>
  <c r="G653" i="1" l="1"/>
  <c r="H653" i="1" s="1"/>
  <c r="I652" i="1"/>
  <c r="G654" i="1" l="1"/>
  <c r="H654" i="1" s="1"/>
  <c r="I653" i="1"/>
  <c r="G655" i="1" l="1"/>
  <c r="H655" i="1" s="1"/>
  <c r="I654" i="1"/>
  <c r="G656" i="1" l="1"/>
  <c r="H656" i="1" s="1"/>
  <c r="I655" i="1"/>
  <c r="I656" i="1" l="1"/>
  <c r="G657" i="1"/>
  <c r="H657" i="1" s="1"/>
  <c r="G658" i="1" l="1"/>
  <c r="H658" i="1" s="1"/>
  <c r="I657" i="1"/>
  <c r="G659" i="1" l="1"/>
  <c r="H659" i="1" s="1"/>
  <c r="I658" i="1"/>
  <c r="G660" i="1" l="1"/>
  <c r="H660" i="1" s="1"/>
  <c r="I659" i="1"/>
  <c r="G661" i="1" l="1"/>
  <c r="H661" i="1" s="1"/>
  <c r="I660" i="1"/>
  <c r="G662" i="1" l="1"/>
  <c r="H662" i="1" s="1"/>
  <c r="I661" i="1"/>
  <c r="G663" i="1" l="1"/>
  <c r="H663" i="1" s="1"/>
  <c r="I662" i="1"/>
  <c r="G664" i="1" l="1"/>
  <c r="H664" i="1" s="1"/>
  <c r="I663" i="1"/>
  <c r="G665" i="1" l="1"/>
  <c r="H665" i="1" s="1"/>
  <c r="I664" i="1"/>
  <c r="G666" i="1" l="1"/>
  <c r="H666" i="1" s="1"/>
  <c r="I665" i="1"/>
  <c r="G667" i="1" l="1"/>
  <c r="H667" i="1" s="1"/>
  <c r="I666" i="1"/>
  <c r="G668" i="1" l="1"/>
  <c r="H668" i="1" s="1"/>
  <c r="I667" i="1"/>
  <c r="G669" i="1" l="1"/>
  <c r="H669" i="1" s="1"/>
  <c r="I668" i="1"/>
  <c r="G670" i="1" l="1"/>
  <c r="H670" i="1" s="1"/>
  <c r="I669" i="1"/>
  <c r="G671" i="1" l="1"/>
  <c r="H671" i="1" s="1"/>
  <c r="I670" i="1"/>
  <c r="G672" i="1" l="1"/>
  <c r="H672" i="1" s="1"/>
  <c r="I671" i="1"/>
  <c r="G673" i="1" l="1"/>
  <c r="H673" i="1" s="1"/>
  <c r="I672" i="1"/>
  <c r="G674" i="1" l="1"/>
  <c r="H674" i="1" s="1"/>
  <c r="I673" i="1"/>
  <c r="G675" i="1" l="1"/>
  <c r="H675" i="1" s="1"/>
  <c r="I674" i="1"/>
  <c r="G676" i="1" l="1"/>
  <c r="H676" i="1" s="1"/>
  <c r="I675" i="1"/>
  <c r="G677" i="1" l="1"/>
  <c r="H677" i="1" s="1"/>
  <c r="I676" i="1"/>
  <c r="G678" i="1" l="1"/>
  <c r="H678" i="1" s="1"/>
  <c r="I677" i="1"/>
  <c r="G679" i="1" l="1"/>
  <c r="H679" i="1" s="1"/>
  <c r="I678" i="1"/>
  <c r="G680" i="1" l="1"/>
  <c r="H680" i="1" s="1"/>
  <c r="I679" i="1"/>
  <c r="G681" i="1" l="1"/>
  <c r="H681" i="1" s="1"/>
  <c r="I680" i="1"/>
  <c r="G682" i="1" l="1"/>
  <c r="H682" i="1" s="1"/>
  <c r="I681" i="1"/>
  <c r="G683" i="1" l="1"/>
  <c r="H683" i="1" s="1"/>
  <c r="I682" i="1"/>
  <c r="G684" i="1" l="1"/>
  <c r="H684" i="1" s="1"/>
  <c r="I683" i="1"/>
  <c r="G685" i="1" l="1"/>
  <c r="H685" i="1" s="1"/>
  <c r="I684" i="1"/>
  <c r="G686" i="1" l="1"/>
  <c r="H686" i="1" s="1"/>
  <c r="I685" i="1"/>
  <c r="G687" i="1" l="1"/>
  <c r="H687" i="1" s="1"/>
  <c r="I686" i="1"/>
  <c r="G688" i="1" l="1"/>
  <c r="H688" i="1" s="1"/>
  <c r="I687" i="1"/>
  <c r="G689" i="1" l="1"/>
  <c r="H689" i="1" s="1"/>
  <c r="I688" i="1"/>
  <c r="G690" i="1" l="1"/>
  <c r="H690" i="1" s="1"/>
  <c r="I689" i="1"/>
  <c r="G691" i="1" l="1"/>
  <c r="H691" i="1" s="1"/>
  <c r="I690" i="1"/>
  <c r="G692" i="1" l="1"/>
  <c r="H692" i="1" s="1"/>
  <c r="I691" i="1"/>
  <c r="G693" i="1" l="1"/>
  <c r="H693" i="1" s="1"/>
  <c r="I692" i="1"/>
  <c r="G694" i="1" l="1"/>
  <c r="H694" i="1" s="1"/>
  <c r="I693" i="1"/>
  <c r="G695" i="1" l="1"/>
  <c r="H695" i="1" s="1"/>
  <c r="I694" i="1"/>
  <c r="G696" i="1" l="1"/>
  <c r="H696" i="1" s="1"/>
  <c r="I695" i="1"/>
  <c r="G697" i="1" l="1"/>
  <c r="H697" i="1" s="1"/>
  <c r="I696" i="1"/>
  <c r="G698" i="1" l="1"/>
  <c r="H698" i="1" s="1"/>
  <c r="I697" i="1"/>
  <c r="G699" i="1" l="1"/>
  <c r="H699" i="1" s="1"/>
  <c r="I698" i="1"/>
  <c r="G700" i="1" l="1"/>
  <c r="H700" i="1" s="1"/>
  <c r="I699" i="1"/>
  <c r="G701" i="1" l="1"/>
  <c r="H701" i="1" s="1"/>
  <c r="I700" i="1"/>
  <c r="G702" i="1" l="1"/>
  <c r="H702" i="1" s="1"/>
  <c r="I701" i="1"/>
  <c r="G703" i="1" l="1"/>
  <c r="H703" i="1" s="1"/>
  <c r="I702" i="1"/>
  <c r="G704" i="1" l="1"/>
  <c r="H704" i="1" s="1"/>
  <c r="I703" i="1"/>
  <c r="G705" i="1" l="1"/>
  <c r="H705" i="1" s="1"/>
  <c r="I704" i="1"/>
  <c r="G706" i="1" l="1"/>
  <c r="H706" i="1" s="1"/>
  <c r="I705" i="1"/>
  <c r="G707" i="1" l="1"/>
  <c r="H707" i="1" s="1"/>
  <c r="I706" i="1"/>
  <c r="G708" i="1" l="1"/>
  <c r="H708" i="1" s="1"/>
  <c r="I707" i="1"/>
  <c r="G709" i="1" l="1"/>
  <c r="H709" i="1" s="1"/>
  <c r="I708" i="1"/>
  <c r="G710" i="1" l="1"/>
  <c r="H710" i="1" s="1"/>
  <c r="I709" i="1"/>
  <c r="G711" i="1" l="1"/>
  <c r="I710" i="1"/>
  <c r="H711" i="1"/>
  <c r="G712" i="1" l="1"/>
  <c r="H712" i="1" s="1"/>
  <c r="I712" i="1" s="1"/>
  <c r="I711" i="1"/>
  <c r="G713" i="1" l="1"/>
  <c r="H713" i="1" s="1"/>
  <c r="G714" i="1" l="1"/>
  <c r="H714" i="1" s="1"/>
  <c r="I713" i="1"/>
  <c r="G715" i="1" l="1"/>
  <c r="H715" i="1" s="1"/>
  <c r="I714" i="1"/>
  <c r="G716" i="1" l="1"/>
  <c r="H716" i="1" s="1"/>
  <c r="I715" i="1"/>
  <c r="G717" i="1" l="1"/>
  <c r="H717" i="1" s="1"/>
  <c r="I716" i="1"/>
  <c r="G718" i="1" l="1"/>
  <c r="H718" i="1" s="1"/>
  <c r="I717" i="1"/>
  <c r="G719" i="1" l="1"/>
  <c r="H719" i="1" s="1"/>
  <c r="I718" i="1"/>
  <c r="G720" i="1" l="1"/>
  <c r="H720" i="1" s="1"/>
  <c r="I719" i="1"/>
  <c r="G721" i="1" l="1"/>
  <c r="H721" i="1" s="1"/>
  <c r="I720" i="1"/>
  <c r="G722" i="1" l="1"/>
  <c r="H722" i="1" s="1"/>
  <c r="I721" i="1"/>
  <c r="G723" i="1" l="1"/>
  <c r="H723" i="1" s="1"/>
  <c r="I722" i="1"/>
  <c r="G724" i="1" l="1"/>
  <c r="H724" i="1" s="1"/>
  <c r="I723" i="1"/>
  <c r="G725" i="1" l="1"/>
  <c r="H725" i="1" s="1"/>
  <c r="I724" i="1"/>
  <c r="G726" i="1" l="1"/>
  <c r="H726" i="1" s="1"/>
  <c r="I725" i="1"/>
  <c r="G727" i="1" l="1"/>
  <c r="H727" i="1" s="1"/>
  <c r="I726" i="1"/>
  <c r="G728" i="1" l="1"/>
  <c r="H728" i="1" s="1"/>
  <c r="I727" i="1"/>
  <c r="G729" i="1" l="1"/>
  <c r="H729" i="1" s="1"/>
  <c r="I728" i="1"/>
  <c r="G730" i="1" l="1"/>
  <c r="H730" i="1" s="1"/>
  <c r="I729" i="1"/>
  <c r="G731" i="1" l="1"/>
  <c r="H731" i="1" s="1"/>
  <c r="I730" i="1"/>
  <c r="G732" i="1" l="1"/>
  <c r="H732" i="1" s="1"/>
  <c r="I731" i="1"/>
  <c r="G733" i="1" l="1"/>
  <c r="H733" i="1" s="1"/>
  <c r="I732" i="1"/>
  <c r="G734" i="1" l="1"/>
  <c r="H734" i="1" s="1"/>
  <c r="I733" i="1"/>
  <c r="G735" i="1" l="1"/>
  <c r="H735" i="1" s="1"/>
  <c r="I734" i="1"/>
  <c r="G736" i="1" l="1"/>
  <c r="H736" i="1" s="1"/>
  <c r="I735" i="1"/>
  <c r="G737" i="1" l="1"/>
  <c r="H737" i="1" s="1"/>
  <c r="I736" i="1"/>
  <c r="G738" i="1" l="1"/>
  <c r="H738" i="1" s="1"/>
  <c r="I737" i="1"/>
  <c r="G739" i="1" l="1"/>
  <c r="H739" i="1" s="1"/>
  <c r="I738" i="1"/>
  <c r="G740" i="1" l="1"/>
  <c r="H740" i="1" s="1"/>
  <c r="I739" i="1"/>
  <c r="G741" i="1" l="1"/>
  <c r="H741" i="1" s="1"/>
  <c r="I740" i="1"/>
  <c r="G742" i="1" l="1"/>
  <c r="H742" i="1" s="1"/>
  <c r="I741" i="1"/>
  <c r="G743" i="1" l="1"/>
  <c r="H743" i="1" s="1"/>
  <c r="I742" i="1"/>
  <c r="G744" i="1" l="1"/>
  <c r="H744" i="1" s="1"/>
  <c r="I744" i="1" s="1"/>
  <c r="I743" i="1"/>
  <c r="G745" i="1" l="1"/>
  <c r="H745" i="1" s="1"/>
  <c r="G746" i="1" l="1"/>
  <c r="H746" i="1" s="1"/>
  <c r="I745" i="1"/>
  <c r="G747" i="1" l="1"/>
  <c r="H747" i="1" s="1"/>
  <c r="I746" i="1"/>
  <c r="G748" i="1" l="1"/>
  <c r="H748" i="1" s="1"/>
  <c r="I748" i="1" s="1"/>
  <c r="I747" i="1"/>
  <c r="G749" i="1" l="1"/>
  <c r="H749" i="1" s="1"/>
  <c r="G750" i="1" l="1"/>
  <c r="H750" i="1" s="1"/>
  <c r="I749" i="1"/>
  <c r="G751" i="1" l="1"/>
  <c r="H751" i="1" s="1"/>
  <c r="I750" i="1"/>
  <c r="G752" i="1" l="1"/>
  <c r="H752" i="1" s="1"/>
  <c r="I751" i="1"/>
  <c r="G753" i="1" l="1"/>
  <c r="I752" i="1"/>
  <c r="H753" i="1"/>
  <c r="G754" i="1" l="1"/>
  <c r="H754" i="1" s="1"/>
  <c r="I753" i="1"/>
  <c r="G755" i="1" l="1"/>
  <c r="H755" i="1" s="1"/>
  <c r="I754" i="1"/>
  <c r="G756" i="1" l="1"/>
  <c r="H756" i="1" s="1"/>
  <c r="I755" i="1"/>
  <c r="G757" i="1" l="1"/>
  <c r="H757" i="1" s="1"/>
  <c r="I756" i="1"/>
  <c r="G758" i="1" l="1"/>
  <c r="H758" i="1" s="1"/>
  <c r="I757" i="1"/>
  <c r="G759" i="1" l="1"/>
  <c r="H759" i="1" s="1"/>
  <c r="I758" i="1"/>
  <c r="G760" i="1" l="1"/>
  <c r="H760" i="1" s="1"/>
  <c r="I760" i="1" s="1"/>
  <c r="I759" i="1"/>
  <c r="G761" i="1" l="1"/>
  <c r="H761" i="1" s="1"/>
  <c r="G762" i="1" l="1"/>
  <c r="H762" i="1" s="1"/>
  <c r="I761" i="1"/>
  <c r="G763" i="1" l="1"/>
  <c r="H763" i="1" s="1"/>
  <c r="I762" i="1"/>
  <c r="G764" i="1" l="1"/>
  <c r="H764" i="1" s="1"/>
  <c r="I763" i="1"/>
  <c r="G765" i="1" l="1"/>
  <c r="H765" i="1" s="1"/>
  <c r="I764" i="1"/>
  <c r="G766" i="1" l="1"/>
  <c r="H766" i="1" s="1"/>
  <c r="I765" i="1"/>
  <c r="G767" i="1" l="1"/>
  <c r="I766" i="1"/>
  <c r="H767" i="1"/>
  <c r="G768" i="1" l="1"/>
  <c r="H768" i="1" s="1"/>
  <c r="I767" i="1"/>
  <c r="G769" i="1" l="1"/>
  <c r="H769" i="1" s="1"/>
  <c r="I768" i="1"/>
  <c r="G770" i="1" l="1"/>
  <c r="H770" i="1" s="1"/>
  <c r="I769" i="1"/>
  <c r="G771" i="1" l="1"/>
  <c r="H771" i="1" s="1"/>
  <c r="I770" i="1"/>
  <c r="G772" i="1" l="1"/>
  <c r="H772" i="1" s="1"/>
  <c r="I771" i="1"/>
  <c r="G773" i="1" l="1"/>
  <c r="H773" i="1" s="1"/>
  <c r="I772" i="1"/>
  <c r="G774" i="1" l="1"/>
  <c r="H774" i="1" s="1"/>
  <c r="I773" i="1"/>
  <c r="G775" i="1" l="1"/>
  <c r="H775" i="1" s="1"/>
  <c r="I774" i="1"/>
  <c r="G776" i="1" l="1"/>
  <c r="H776" i="1" s="1"/>
  <c r="I775" i="1"/>
  <c r="G777" i="1" l="1"/>
  <c r="H777" i="1" s="1"/>
  <c r="I776" i="1"/>
  <c r="G778" i="1" l="1"/>
  <c r="H778" i="1" s="1"/>
  <c r="I777" i="1"/>
  <c r="G779" i="1" l="1"/>
  <c r="H779" i="1" s="1"/>
  <c r="I778" i="1"/>
  <c r="G780" i="1" l="1"/>
  <c r="H780" i="1" s="1"/>
  <c r="I779" i="1"/>
  <c r="G781" i="1" l="1"/>
  <c r="H781" i="1" s="1"/>
  <c r="I780" i="1"/>
  <c r="G782" i="1" l="1"/>
  <c r="H782" i="1" s="1"/>
  <c r="I781" i="1"/>
  <c r="G783" i="1" l="1"/>
  <c r="H783" i="1" s="1"/>
  <c r="I782" i="1"/>
  <c r="G784" i="1" l="1"/>
  <c r="H784" i="1" s="1"/>
  <c r="I783" i="1"/>
  <c r="G785" i="1" l="1"/>
  <c r="H785" i="1" s="1"/>
  <c r="I784" i="1"/>
  <c r="G786" i="1" l="1"/>
  <c r="H786" i="1" s="1"/>
  <c r="I785" i="1"/>
  <c r="G787" i="1" l="1"/>
  <c r="H787" i="1" s="1"/>
  <c r="I786" i="1"/>
  <c r="G788" i="1" l="1"/>
  <c r="H788" i="1" s="1"/>
  <c r="I787" i="1"/>
  <c r="G789" i="1" l="1"/>
  <c r="H789" i="1" s="1"/>
  <c r="I788" i="1"/>
  <c r="G790" i="1" l="1"/>
  <c r="H790" i="1" s="1"/>
  <c r="I789" i="1"/>
  <c r="G791" i="1" l="1"/>
  <c r="H791" i="1" s="1"/>
  <c r="I790" i="1"/>
  <c r="G792" i="1" l="1"/>
  <c r="H792" i="1" s="1"/>
  <c r="I791" i="1"/>
  <c r="G793" i="1" l="1"/>
  <c r="H793" i="1" s="1"/>
  <c r="I792" i="1"/>
  <c r="G794" i="1" l="1"/>
  <c r="H794" i="1" s="1"/>
  <c r="I793" i="1"/>
  <c r="G795" i="1" l="1"/>
  <c r="H795" i="1" s="1"/>
  <c r="I794" i="1"/>
  <c r="G796" i="1" l="1"/>
  <c r="H796" i="1" s="1"/>
  <c r="I795" i="1"/>
  <c r="G797" i="1" l="1"/>
  <c r="H797" i="1" s="1"/>
  <c r="I796" i="1"/>
  <c r="G798" i="1" l="1"/>
  <c r="H798" i="1" s="1"/>
  <c r="I797" i="1"/>
  <c r="G799" i="1" l="1"/>
  <c r="H799" i="1" s="1"/>
  <c r="I798" i="1"/>
  <c r="G800" i="1" l="1"/>
  <c r="H800" i="1" s="1"/>
  <c r="I799" i="1"/>
  <c r="G801" i="1" l="1"/>
  <c r="H801" i="1" s="1"/>
  <c r="I800" i="1"/>
  <c r="G802" i="1" l="1"/>
  <c r="H802" i="1" s="1"/>
  <c r="I801" i="1"/>
  <c r="G803" i="1" l="1"/>
  <c r="H803" i="1" s="1"/>
  <c r="I803" i="1" s="1"/>
  <c r="I802" i="1"/>
  <c r="G804" i="1" l="1"/>
  <c r="H804" i="1" s="1"/>
  <c r="G805" i="1" l="1"/>
  <c r="H805" i="1" s="1"/>
  <c r="I804" i="1"/>
  <c r="G806" i="1" l="1"/>
  <c r="H806" i="1" s="1"/>
  <c r="I805" i="1"/>
  <c r="G807" i="1" l="1"/>
  <c r="H807" i="1" s="1"/>
  <c r="I806" i="1"/>
  <c r="G808" i="1" l="1"/>
  <c r="H808" i="1" s="1"/>
  <c r="I807" i="1"/>
  <c r="G809" i="1" l="1"/>
  <c r="H809" i="1" s="1"/>
  <c r="I808" i="1"/>
  <c r="G810" i="1" l="1"/>
  <c r="H810" i="1" s="1"/>
  <c r="I809" i="1"/>
  <c r="G811" i="1" l="1"/>
  <c r="H811" i="1" s="1"/>
  <c r="I810" i="1"/>
  <c r="G812" i="1" l="1"/>
  <c r="H812" i="1" s="1"/>
  <c r="I811" i="1"/>
  <c r="G813" i="1" l="1"/>
  <c r="H813" i="1" s="1"/>
  <c r="I812" i="1"/>
  <c r="G814" i="1" l="1"/>
  <c r="H814" i="1" s="1"/>
  <c r="I813" i="1"/>
  <c r="G815" i="1" l="1"/>
  <c r="H815" i="1" s="1"/>
  <c r="I814" i="1"/>
  <c r="G816" i="1" l="1"/>
  <c r="H816" i="1" s="1"/>
  <c r="I815" i="1"/>
  <c r="G817" i="1" l="1"/>
  <c r="H817" i="1" s="1"/>
  <c r="I816" i="1"/>
  <c r="G818" i="1" l="1"/>
  <c r="H818" i="1" s="1"/>
  <c r="I817" i="1"/>
  <c r="G819" i="1" l="1"/>
  <c r="H819" i="1" s="1"/>
  <c r="I818" i="1"/>
  <c r="G820" i="1" l="1"/>
  <c r="H820" i="1" s="1"/>
  <c r="I819" i="1"/>
  <c r="G821" i="1" l="1"/>
  <c r="H821" i="1" s="1"/>
  <c r="I820" i="1"/>
  <c r="G822" i="1" l="1"/>
  <c r="H822" i="1" s="1"/>
  <c r="I821" i="1"/>
  <c r="G823" i="1" l="1"/>
  <c r="H823" i="1" s="1"/>
  <c r="I822" i="1"/>
  <c r="G824" i="1" l="1"/>
  <c r="H824" i="1" s="1"/>
  <c r="I824" i="1" s="1"/>
  <c r="I823" i="1"/>
  <c r="G825" i="1" l="1"/>
  <c r="H825" i="1" s="1"/>
  <c r="G826" i="1" l="1"/>
  <c r="H826" i="1" s="1"/>
  <c r="I825" i="1"/>
  <c r="G827" i="1" l="1"/>
  <c r="H827" i="1" s="1"/>
  <c r="I826" i="1"/>
  <c r="G828" i="1" l="1"/>
  <c r="H828" i="1" s="1"/>
  <c r="I827" i="1"/>
  <c r="G829" i="1" l="1"/>
  <c r="H829" i="1" s="1"/>
  <c r="I828" i="1"/>
  <c r="G830" i="1" l="1"/>
  <c r="H830" i="1" s="1"/>
  <c r="I829" i="1"/>
  <c r="G831" i="1" l="1"/>
  <c r="H831" i="1" s="1"/>
  <c r="I830" i="1"/>
  <c r="G832" i="1" l="1"/>
  <c r="H832" i="1" s="1"/>
  <c r="I831" i="1"/>
  <c r="G833" i="1" l="1"/>
  <c r="H833" i="1" s="1"/>
  <c r="I832" i="1"/>
  <c r="G834" i="1" l="1"/>
  <c r="H834" i="1" s="1"/>
  <c r="I833" i="1"/>
  <c r="G835" i="1" l="1"/>
  <c r="H835" i="1" s="1"/>
  <c r="I834" i="1"/>
  <c r="G836" i="1" l="1"/>
  <c r="H836" i="1" s="1"/>
  <c r="I835" i="1"/>
  <c r="G837" i="1" l="1"/>
  <c r="H837" i="1" s="1"/>
  <c r="I836" i="1"/>
  <c r="G838" i="1" l="1"/>
  <c r="H838" i="1" s="1"/>
  <c r="I837" i="1"/>
  <c r="G839" i="1" l="1"/>
  <c r="H839" i="1" s="1"/>
  <c r="I838" i="1"/>
  <c r="G840" i="1" l="1"/>
  <c r="H840" i="1" s="1"/>
  <c r="I839" i="1"/>
  <c r="G841" i="1" l="1"/>
  <c r="H841" i="1" s="1"/>
  <c r="I840" i="1"/>
  <c r="G842" i="1" l="1"/>
  <c r="H842" i="1" s="1"/>
  <c r="I841" i="1"/>
  <c r="G843" i="1" l="1"/>
  <c r="H843" i="1" s="1"/>
  <c r="I842" i="1"/>
  <c r="G844" i="1" l="1"/>
  <c r="H844" i="1" s="1"/>
  <c r="I843" i="1"/>
  <c r="G845" i="1" l="1"/>
  <c r="H845" i="1" s="1"/>
  <c r="I844" i="1"/>
  <c r="G846" i="1" l="1"/>
  <c r="H846" i="1" s="1"/>
  <c r="I846" i="1" s="1"/>
  <c r="I845" i="1"/>
  <c r="G847" i="1" l="1"/>
  <c r="H847" i="1" s="1"/>
  <c r="G848" i="1" l="1"/>
  <c r="H848" i="1" s="1"/>
  <c r="I847" i="1"/>
  <c r="G849" i="1" l="1"/>
  <c r="H849" i="1" s="1"/>
  <c r="I848" i="1"/>
  <c r="G850" i="1" l="1"/>
  <c r="H850" i="1" s="1"/>
  <c r="I849" i="1"/>
  <c r="G851" i="1" l="1"/>
  <c r="H851" i="1" s="1"/>
  <c r="I850" i="1"/>
  <c r="G852" i="1" l="1"/>
  <c r="H852" i="1" s="1"/>
  <c r="I851" i="1"/>
  <c r="G853" i="1" l="1"/>
  <c r="H853" i="1" s="1"/>
  <c r="I852" i="1"/>
  <c r="G854" i="1" l="1"/>
  <c r="H854" i="1" s="1"/>
  <c r="I853" i="1"/>
  <c r="G855" i="1" l="1"/>
  <c r="H855" i="1" s="1"/>
  <c r="I854" i="1"/>
  <c r="G856" i="1" l="1"/>
  <c r="H856" i="1" s="1"/>
  <c r="I855" i="1"/>
  <c r="G857" i="1" l="1"/>
  <c r="H857" i="1" s="1"/>
  <c r="I856" i="1"/>
  <c r="G858" i="1" l="1"/>
  <c r="H858" i="1" s="1"/>
  <c r="I857" i="1"/>
  <c r="G859" i="1" l="1"/>
  <c r="H859" i="1" s="1"/>
  <c r="I858" i="1"/>
  <c r="G860" i="1" l="1"/>
  <c r="H860" i="1" s="1"/>
  <c r="I859" i="1"/>
  <c r="G861" i="1" l="1"/>
  <c r="H861" i="1" s="1"/>
  <c r="I860" i="1"/>
  <c r="G862" i="1" l="1"/>
  <c r="H862" i="1" s="1"/>
  <c r="I862" i="1" s="1"/>
  <c r="I861" i="1"/>
  <c r="G863" i="1" l="1"/>
  <c r="H863" i="1" s="1"/>
  <c r="G864" i="1" l="1"/>
  <c r="H864" i="1" s="1"/>
  <c r="I863" i="1"/>
  <c r="G865" i="1" l="1"/>
  <c r="H865" i="1" s="1"/>
  <c r="I864" i="1"/>
  <c r="G866" i="1" l="1"/>
  <c r="H866" i="1" s="1"/>
  <c r="I865" i="1"/>
  <c r="G867" i="1" l="1"/>
  <c r="H867" i="1" s="1"/>
  <c r="I866" i="1"/>
  <c r="G868" i="1" l="1"/>
  <c r="H868" i="1" s="1"/>
  <c r="I868" i="1" s="1"/>
  <c r="I867" i="1"/>
  <c r="G869" i="1" l="1"/>
  <c r="H869" i="1" s="1"/>
  <c r="G870" i="1" l="1"/>
  <c r="H870" i="1" s="1"/>
  <c r="I869" i="1"/>
  <c r="G871" i="1" l="1"/>
  <c r="H871" i="1" s="1"/>
  <c r="I870" i="1"/>
  <c r="G872" i="1" l="1"/>
  <c r="H872" i="1" s="1"/>
  <c r="I871" i="1"/>
  <c r="G873" i="1" l="1"/>
  <c r="H873" i="1" s="1"/>
  <c r="I872" i="1"/>
  <c r="G874" i="1" l="1"/>
  <c r="H874" i="1" s="1"/>
  <c r="I873" i="1"/>
  <c r="G875" i="1" l="1"/>
  <c r="H875" i="1" s="1"/>
  <c r="I874" i="1"/>
  <c r="G876" i="1" l="1"/>
  <c r="H876" i="1" s="1"/>
  <c r="I875" i="1"/>
  <c r="G877" i="1" l="1"/>
  <c r="H877" i="1" s="1"/>
  <c r="I877" i="1" s="1"/>
  <c r="I876" i="1"/>
  <c r="G878" i="1" l="1"/>
  <c r="H878" i="1" s="1"/>
  <c r="G879" i="1" l="1"/>
  <c r="H879" i="1" s="1"/>
  <c r="I878" i="1"/>
  <c r="G880" i="1" l="1"/>
  <c r="H880" i="1" s="1"/>
  <c r="I879" i="1"/>
  <c r="G881" i="1" l="1"/>
  <c r="H881" i="1" s="1"/>
  <c r="I880" i="1"/>
  <c r="G882" i="1" l="1"/>
  <c r="H882" i="1" s="1"/>
  <c r="I881" i="1"/>
  <c r="G883" i="1" l="1"/>
  <c r="H883" i="1" s="1"/>
  <c r="I882" i="1"/>
  <c r="G884" i="1" l="1"/>
  <c r="H884" i="1" s="1"/>
  <c r="I883" i="1"/>
  <c r="G885" i="1" l="1"/>
  <c r="H885" i="1" s="1"/>
  <c r="I884" i="1"/>
  <c r="G886" i="1" l="1"/>
  <c r="H886" i="1" s="1"/>
  <c r="I885" i="1"/>
  <c r="G887" i="1" l="1"/>
  <c r="H887" i="1" s="1"/>
  <c r="I886" i="1"/>
  <c r="G888" i="1" l="1"/>
  <c r="H888" i="1" s="1"/>
  <c r="I887" i="1"/>
  <c r="G889" i="1" l="1"/>
  <c r="H889" i="1" s="1"/>
  <c r="I888" i="1"/>
  <c r="G890" i="1" l="1"/>
  <c r="H890" i="1" s="1"/>
  <c r="I889" i="1"/>
  <c r="G891" i="1" l="1"/>
  <c r="H891" i="1" s="1"/>
  <c r="I890" i="1"/>
  <c r="G892" i="1" l="1"/>
  <c r="H892" i="1" s="1"/>
  <c r="I891" i="1"/>
  <c r="G893" i="1" l="1"/>
  <c r="H893" i="1" s="1"/>
  <c r="I892" i="1"/>
  <c r="G894" i="1" l="1"/>
  <c r="H894" i="1" s="1"/>
  <c r="I893" i="1"/>
  <c r="G895" i="1" l="1"/>
  <c r="H895" i="1" s="1"/>
  <c r="I894" i="1"/>
  <c r="G896" i="1" l="1"/>
  <c r="H896" i="1" s="1"/>
  <c r="I895" i="1"/>
  <c r="G897" i="1" l="1"/>
  <c r="H897" i="1" s="1"/>
  <c r="I896" i="1"/>
  <c r="G898" i="1" l="1"/>
  <c r="H898" i="1" s="1"/>
  <c r="I897" i="1"/>
  <c r="G899" i="1" l="1"/>
  <c r="H899" i="1" s="1"/>
  <c r="I898" i="1"/>
  <c r="G900" i="1" l="1"/>
  <c r="H900" i="1" s="1"/>
  <c r="I899" i="1"/>
  <c r="G901" i="1" l="1"/>
  <c r="H901" i="1" s="1"/>
  <c r="I900" i="1"/>
  <c r="G902" i="1" l="1"/>
  <c r="H902" i="1" s="1"/>
  <c r="I901" i="1"/>
  <c r="G903" i="1" l="1"/>
  <c r="H903" i="1" s="1"/>
  <c r="I902" i="1"/>
  <c r="G904" i="1" l="1"/>
  <c r="H904" i="1" s="1"/>
  <c r="I903" i="1"/>
  <c r="G905" i="1" l="1"/>
  <c r="H905" i="1" s="1"/>
  <c r="I904" i="1"/>
  <c r="G906" i="1" l="1"/>
  <c r="H906" i="1" s="1"/>
  <c r="I905" i="1"/>
  <c r="G907" i="1" l="1"/>
  <c r="H907" i="1" s="1"/>
  <c r="I906" i="1"/>
  <c r="G908" i="1" l="1"/>
  <c r="H908" i="1" s="1"/>
  <c r="I907" i="1"/>
  <c r="G909" i="1" l="1"/>
  <c r="H909" i="1" s="1"/>
  <c r="I908" i="1"/>
  <c r="G910" i="1" l="1"/>
  <c r="H910" i="1" s="1"/>
  <c r="I909" i="1"/>
  <c r="G911" i="1" l="1"/>
  <c r="H911" i="1" s="1"/>
  <c r="I910" i="1"/>
  <c r="G912" i="1" l="1"/>
  <c r="H912" i="1" s="1"/>
  <c r="I911" i="1"/>
  <c r="G913" i="1" l="1"/>
  <c r="H913" i="1" s="1"/>
  <c r="I912" i="1"/>
  <c r="G914" i="1" l="1"/>
  <c r="H914" i="1" s="1"/>
  <c r="I913" i="1"/>
  <c r="G915" i="1" l="1"/>
  <c r="H915" i="1" s="1"/>
  <c r="I914" i="1"/>
  <c r="G916" i="1" l="1"/>
  <c r="H916" i="1" s="1"/>
  <c r="I915" i="1"/>
  <c r="G917" i="1" l="1"/>
  <c r="H917" i="1" s="1"/>
  <c r="I916" i="1"/>
  <c r="G918" i="1" l="1"/>
  <c r="H918" i="1" s="1"/>
  <c r="I917" i="1"/>
  <c r="G919" i="1" l="1"/>
  <c r="H919" i="1" s="1"/>
  <c r="I918" i="1"/>
  <c r="G920" i="1" l="1"/>
  <c r="H920" i="1" s="1"/>
  <c r="I919" i="1"/>
  <c r="G921" i="1" l="1"/>
  <c r="H921" i="1" s="1"/>
  <c r="I920" i="1"/>
  <c r="G922" i="1" l="1"/>
  <c r="H922" i="1" s="1"/>
  <c r="I921" i="1"/>
  <c r="G923" i="1" l="1"/>
  <c r="H923" i="1" s="1"/>
  <c r="I922" i="1"/>
  <c r="G924" i="1" l="1"/>
  <c r="H924" i="1" s="1"/>
  <c r="I923" i="1"/>
  <c r="G925" i="1" l="1"/>
  <c r="H925" i="1" s="1"/>
  <c r="I924" i="1"/>
  <c r="G926" i="1" l="1"/>
  <c r="H926" i="1" s="1"/>
  <c r="I925" i="1"/>
  <c r="G927" i="1" l="1"/>
  <c r="H927" i="1" s="1"/>
  <c r="I926" i="1"/>
  <c r="G928" i="1" l="1"/>
  <c r="H928" i="1" s="1"/>
  <c r="I927" i="1"/>
  <c r="G929" i="1" l="1"/>
  <c r="H929" i="1" s="1"/>
  <c r="I928" i="1"/>
  <c r="G930" i="1" l="1"/>
  <c r="H930" i="1" s="1"/>
  <c r="I929" i="1"/>
  <c r="G931" i="1" l="1"/>
  <c r="H931" i="1" s="1"/>
  <c r="I930" i="1"/>
  <c r="G932" i="1" l="1"/>
  <c r="H932" i="1" s="1"/>
  <c r="I931" i="1"/>
  <c r="G933" i="1" l="1"/>
  <c r="H933" i="1" s="1"/>
  <c r="I932" i="1"/>
  <c r="G934" i="1" l="1"/>
  <c r="H934" i="1" s="1"/>
  <c r="I933" i="1"/>
  <c r="G935" i="1" l="1"/>
  <c r="H935" i="1" s="1"/>
  <c r="I934" i="1"/>
  <c r="G936" i="1" l="1"/>
  <c r="H936" i="1" s="1"/>
  <c r="I935" i="1"/>
  <c r="G937" i="1" l="1"/>
  <c r="H937" i="1" s="1"/>
  <c r="I936" i="1"/>
  <c r="G938" i="1" l="1"/>
  <c r="H938" i="1" s="1"/>
  <c r="I937" i="1"/>
  <c r="G939" i="1" l="1"/>
  <c r="H939" i="1" s="1"/>
  <c r="I938" i="1"/>
  <c r="G940" i="1" l="1"/>
  <c r="H940" i="1" s="1"/>
  <c r="I939" i="1"/>
  <c r="G941" i="1" l="1"/>
  <c r="H941" i="1" s="1"/>
  <c r="I940" i="1"/>
  <c r="G942" i="1" l="1"/>
  <c r="H942" i="1" s="1"/>
  <c r="I941" i="1"/>
  <c r="G943" i="1" l="1"/>
  <c r="H943" i="1" s="1"/>
  <c r="I942" i="1"/>
  <c r="G944" i="1" l="1"/>
  <c r="H944" i="1" s="1"/>
  <c r="I943" i="1"/>
  <c r="G945" i="1" l="1"/>
  <c r="H945" i="1" s="1"/>
  <c r="I944" i="1"/>
  <c r="G946" i="1" l="1"/>
  <c r="H946" i="1" s="1"/>
  <c r="I945" i="1"/>
  <c r="G947" i="1" l="1"/>
  <c r="H947" i="1" s="1"/>
  <c r="I946" i="1"/>
  <c r="G948" i="1" l="1"/>
  <c r="H948" i="1" s="1"/>
  <c r="I947" i="1"/>
  <c r="G949" i="1" l="1"/>
  <c r="H949" i="1" s="1"/>
  <c r="I948" i="1"/>
  <c r="G950" i="1" l="1"/>
  <c r="H950" i="1" s="1"/>
  <c r="I949" i="1"/>
  <c r="G951" i="1" l="1"/>
  <c r="I950" i="1"/>
  <c r="H951" i="1"/>
  <c r="I951" i="1" s="1"/>
  <c r="G952" i="1" l="1"/>
  <c r="H952" i="1" s="1"/>
  <c r="G953" i="1" l="1"/>
  <c r="H953" i="1" s="1"/>
  <c r="I952" i="1"/>
  <c r="G954" i="1" l="1"/>
  <c r="H954" i="1" s="1"/>
  <c r="I953" i="1"/>
  <c r="G955" i="1" l="1"/>
  <c r="H955" i="1" s="1"/>
  <c r="I954" i="1"/>
  <c r="G956" i="1" l="1"/>
  <c r="H956" i="1" s="1"/>
  <c r="I955" i="1"/>
  <c r="G957" i="1" l="1"/>
  <c r="H957" i="1" s="1"/>
  <c r="I956" i="1"/>
  <c r="G958" i="1" l="1"/>
  <c r="H958" i="1" s="1"/>
  <c r="I957" i="1"/>
  <c r="G959" i="1" l="1"/>
  <c r="H959" i="1" s="1"/>
  <c r="I958" i="1"/>
  <c r="G960" i="1" l="1"/>
  <c r="H960" i="1" s="1"/>
  <c r="I959" i="1"/>
  <c r="G961" i="1" l="1"/>
  <c r="H961" i="1" s="1"/>
  <c r="I960" i="1"/>
  <c r="G962" i="1" l="1"/>
  <c r="H962" i="1" s="1"/>
  <c r="I961" i="1"/>
  <c r="G963" i="1" l="1"/>
  <c r="H963" i="1" s="1"/>
  <c r="I962" i="1"/>
  <c r="G964" i="1" l="1"/>
  <c r="H964" i="1" s="1"/>
  <c r="I963" i="1"/>
  <c r="G965" i="1" l="1"/>
  <c r="H965" i="1" s="1"/>
  <c r="I964" i="1"/>
  <c r="G966" i="1" l="1"/>
  <c r="H966" i="1" s="1"/>
  <c r="I965" i="1"/>
  <c r="G967" i="1" l="1"/>
  <c r="H967" i="1" s="1"/>
  <c r="I966" i="1"/>
  <c r="G968" i="1" l="1"/>
  <c r="H968" i="1" s="1"/>
  <c r="I967" i="1"/>
  <c r="G969" i="1" l="1"/>
  <c r="H969" i="1" s="1"/>
  <c r="I968" i="1"/>
  <c r="G970" i="1" l="1"/>
  <c r="H970" i="1" s="1"/>
  <c r="I969" i="1"/>
  <c r="G971" i="1" l="1"/>
  <c r="H971" i="1" s="1"/>
  <c r="I970" i="1"/>
  <c r="G972" i="1" l="1"/>
  <c r="H972" i="1" s="1"/>
  <c r="I971" i="1"/>
  <c r="G973" i="1" l="1"/>
  <c r="H973" i="1" s="1"/>
  <c r="I972" i="1"/>
  <c r="G974" i="1" l="1"/>
  <c r="H974" i="1" s="1"/>
  <c r="I973" i="1"/>
  <c r="G975" i="1" l="1"/>
  <c r="H975" i="1" s="1"/>
  <c r="I974" i="1"/>
  <c r="G976" i="1" l="1"/>
  <c r="H976" i="1" s="1"/>
  <c r="I975" i="1"/>
  <c r="G977" i="1" l="1"/>
  <c r="H977" i="1" s="1"/>
  <c r="I976" i="1"/>
  <c r="G978" i="1" l="1"/>
  <c r="H978" i="1" s="1"/>
  <c r="I977" i="1"/>
  <c r="G979" i="1" l="1"/>
  <c r="H979" i="1" s="1"/>
  <c r="I978" i="1"/>
  <c r="G980" i="1" l="1"/>
  <c r="H980" i="1" s="1"/>
  <c r="I979" i="1"/>
  <c r="G981" i="1" l="1"/>
  <c r="H981" i="1" s="1"/>
  <c r="I980" i="1"/>
  <c r="G982" i="1" l="1"/>
  <c r="H982" i="1" s="1"/>
  <c r="I981" i="1"/>
  <c r="G983" i="1" l="1"/>
  <c r="H983" i="1" s="1"/>
  <c r="I982" i="1"/>
  <c r="G984" i="1" l="1"/>
  <c r="H984" i="1" s="1"/>
  <c r="I983" i="1"/>
  <c r="G985" i="1" l="1"/>
  <c r="H985" i="1" s="1"/>
  <c r="I984" i="1"/>
  <c r="G986" i="1" l="1"/>
  <c r="H986" i="1" s="1"/>
  <c r="I985" i="1"/>
  <c r="G987" i="1" l="1"/>
  <c r="H987" i="1" s="1"/>
  <c r="I986" i="1"/>
  <c r="G988" i="1" l="1"/>
  <c r="H988" i="1" s="1"/>
  <c r="I987" i="1"/>
  <c r="G989" i="1" l="1"/>
  <c r="H989" i="1" s="1"/>
  <c r="I988" i="1"/>
  <c r="G990" i="1" l="1"/>
  <c r="H990" i="1" s="1"/>
  <c r="I989" i="1"/>
  <c r="G991" i="1" l="1"/>
  <c r="H991" i="1" s="1"/>
  <c r="I990" i="1"/>
  <c r="G992" i="1" l="1"/>
  <c r="H992" i="1" s="1"/>
  <c r="I991" i="1"/>
  <c r="G993" i="1" l="1"/>
  <c r="H993" i="1" s="1"/>
  <c r="I992" i="1"/>
  <c r="G994" i="1" l="1"/>
  <c r="H994" i="1" s="1"/>
  <c r="I993" i="1"/>
  <c r="G995" i="1" l="1"/>
  <c r="H995" i="1" s="1"/>
  <c r="I994" i="1"/>
  <c r="G996" i="1" l="1"/>
  <c r="H996" i="1" s="1"/>
  <c r="I995" i="1"/>
  <c r="G997" i="1" l="1"/>
  <c r="H997" i="1" s="1"/>
  <c r="I996" i="1"/>
  <c r="G998" i="1" l="1"/>
  <c r="H998" i="1" s="1"/>
  <c r="I997" i="1"/>
  <c r="G999" i="1" l="1"/>
  <c r="H999" i="1" s="1"/>
  <c r="I998" i="1"/>
  <c r="G1000" i="1" l="1"/>
  <c r="H1000" i="1" s="1"/>
  <c r="I1000" i="1" s="1"/>
  <c r="I999" i="1"/>
  <c r="G1001" i="1" l="1"/>
  <c r="H1001" i="1" s="1"/>
  <c r="G1002" i="1" l="1"/>
  <c r="H1002" i="1" s="1"/>
  <c r="I1001" i="1"/>
  <c r="G1003" i="1" l="1"/>
  <c r="H1003" i="1" s="1"/>
  <c r="I1002" i="1"/>
  <c r="G1004" i="1" l="1"/>
  <c r="H1004" i="1" s="1"/>
  <c r="I1003" i="1"/>
  <c r="G1005" i="1" l="1"/>
  <c r="H1005" i="1" s="1"/>
  <c r="I1004" i="1"/>
  <c r="G1006" i="1" l="1"/>
  <c r="H1006" i="1" s="1"/>
  <c r="I1005" i="1"/>
  <c r="G1007" i="1" l="1"/>
  <c r="H1007" i="1" s="1"/>
  <c r="I1006" i="1"/>
  <c r="G1008" i="1" l="1"/>
  <c r="H1008" i="1" s="1"/>
  <c r="I1007" i="1"/>
  <c r="G1009" i="1" l="1"/>
  <c r="H1009" i="1" s="1"/>
  <c r="I1008" i="1"/>
  <c r="G1010" i="1" l="1"/>
  <c r="H1010" i="1" s="1"/>
  <c r="I1009" i="1"/>
  <c r="G1011" i="1" l="1"/>
  <c r="H1011" i="1" s="1"/>
  <c r="I1010" i="1"/>
  <c r="G1012" i="1" l="1"/>
  <c r="H1012" i="1" s="1"/>
  <c r="I1011" i="1"/>
  <c r="G1013" i="1" l="1"/>
  <c r="H1013" i="1" s="1"/>
  <c r="I1012" i="1"/>
  <c r="G1014" i="1" l="1"/>
  <c r="H1014" i="1" s="1"/>
  <c r="I1013" i="1"/>
  <c r="G1015" i="1" l="1"/>
  <c r="H1015" i="1" s="1"/>
  <c r="I1014" i="1"/>
  <c r="G1016" i="1" l="1"/>
  <c r="H1016" i="1" s="1"/>
  <c r="I1015" i="1"/>
  <c r="G1017" i="1" l="1"/>
  <c r="H1017" i="1" s="1"/>
  <c r="I1016" i="1"/>
  <c r="G1018" i="1" l="1"/>
  <c r="H1018" i="1" s="1"/>
  <c r="I1017" i="1"/>
  <c r="G1019" i="1" l="1"/>
  <c r="H1019" i="1" s="1"/>
  <c r="I1018" i="1"/>
  <c r="G1020" i="1" l="1"/>
  <c r="H1020" i="1" s="1"/>
  <c r="I1019" i="1"/>
  <c r="G1021" i="1" l="1"/>
  <c r="H1021" i="1" s="1"/>
  <c r="I1020" i="1"/>
  <c r="G1022" i="1" l="1"/>
  <c r="H1022" i="1" s="1"/>
  <c r="I1021" i="1"/>
  <c r="G1023" i="1" l="1"/>
  <c r="H1023" i="1" s="1"/>
  <c r="I1022" i="1"/>
  <c r="G1024" i="1" l="1"/>
  <c r="H1024" i="1" s="1"/>
  <c r="I1023" i="1"/>
  <c r="G1025" i="1" l="1"/>
  <c r="H1025" i="1" s="1"/>
  <c r="I1024" i="1"/>
  <c r="G1026" i="1" l="1"/>
  <c r="H1026" i="1" s="1"/>
  <c r="I1025" i="1"/>
  <c r="G1027" i="1" l="1"/>
  <c r="H1027" i="1" s="1"/>
  <c r="I1026" i="1"/>
  <c r="G1028" i="1" l="1"/>
  <c r="H1028" i="1" s="1"/>
  <c r="I1027" i="1"/>
  <c r="G1029" i="1" l="1"/>
  <c r="H1029" i="1" s="1"/>
  <c r="I1028" i="1"/>
  <c r="G1030" i="1" l="1"/>
  <c r="H1030" i="1" s="1"/>
  <c r="I1029" i="1"/>
  <c r="G1031" i="1" l="1"/>
  <c r="H1031" i="1" s="1"/>
  <c r="I1030" i="1"/>
  <c r="G1032" i="1" l="1"/>
  <c r="H1032" i="1" s="1"/>
  <c r="I1031" i="1"/>
  <c r="G1033" i="1" l="1"/>
  <c r="H1033" i="1" s="1"/>
  <c r="I1032" i="1"/>
  <c r="G1034" i="1" l="1"/>
  <c r="H1034" i="1" s="1"/>
  <c r="I1033" i="1"/>
  <c r="G1035" i="1" l="1"/>
  <c r="H1035" i="1" s="1"/>
  <c r="I1034" i="1"/>
  <c r="G1036" i="1" l="1"/>
  <c r="H1036" i="1" s="1"/>
  <c r="I1035" i="1"/>
  <c r="G1037" i="1" l="1"/>
  <c r="H1037" i="1" s="1"/>
  <c r="I1036" i="1"/>
  <c r="G1038" i="1" l="1"/>
  <c r="H1038" i="1" s="1"/>
  <c r="I1037" i="1"/>
  <c r="G1039" i="1" l="1"/>
  <c r="H1039" i="1" s="1"/>
  <c r="I1038" i="1"/>
  <c r="G1040" i="1" l="1"/>
  <c r="H1040" i="1" s="1"/>
  <c r="I1039" i="1"/>
  <c r="G1041" i="1" l="1"/>
  <c r="H1041" i="1" s="1"/>
  <c r="I1040" i="1"/>
  <c r="G1042" i="1" l="1"/>
  <c r="H1042" i="1" s="1"/>
  <c r="I1041" i="1"/>
  <c r="G1043" i="1" l="1"/>
  <c r="H1043" i="1" s="1"/>
  <c r="I1042" i="1"/>
  <c r="G1044" i="1" l="1"/>
  <c r="H1044" i="1" s="1"/>
  <c r="I1043" i="1"/>
  <c r="G1045" i="1" l="1"/>
  <c r="H1045" i="1" s="1"/>
  <c r="I1044" i="1"/>
  <c r="G1046" i="1" l="1"/>
  <c r="H1046" i="1" s="1"/>
  <c r="I1045" i="1"/>
  <c r="G1047" i="1" l="1"/>
  <c r="H1047" i="1" s="1"/>
  <c r="I1046" i="1"/>
  <c r="G1048" i="1" l="1"/>
  <c r="H1048" i="1" s="1"/>
  <c r="I1047" i="1"/>
  <c r="G1049" i="1" l="1"/>
  <c r="H1049" i="1" s="1"/>
  <c r="I1048" i="1"/>
  <c r="G1050" i="1" l="1"/>
  <c r="H1050" i="1" s="1"/>
  <c r="I1049" i="1"/>
  <c r="G1051" i="1" l="1"/>
  <c r="H1051" i="1" s="1"/>
  <c r="I1050" i="1"/>
  <c r="G1052" i="1" l="1"/>
  <c r="H1052" i="1" s="1"/>
  <c r="I1051" i="1"/>
  <c r="G1053" i="1" l="1"/>
  <c r="H1053" i="1" s="1"/>
  <c r="I1052" i="1"/>
  <c r="G1054" i="1" l="1"/>
  <c r="H1054" i="1" s="1"/>
  <c r="I1053" i="1"/>
  <c r="G1055" i="1" l="1"/>
  <c r="H1055" i="1" s="1"/>
  <c r="I1054" i="1"/>
  <c r="G1056" i="1" l="1"/>
  <c r="H1056" i="1" s="1"/>
  <c r="I1055" i="1"/>
  <c r="G1057" i="1" l="1"/>
  <c r="H1057" i="1" s="1"/>
  <c r="I1056" i="1"/>
  <c r="G1058" i="1" l="1"/>
  <c r="H1058" i="1" s="1"/>
  <c r="I1057" i="1"/>
  <c r="G1059" i="1" l="1"/>
  <c r="H1059" i="1" s="1"/>
  <c r="I1058" i="1"/>
  <c r="G1060" i="1" l="1"/>
  <c r="H1060" i="1" s="1"/>
  <c r="I1059" i="1"/>
  <c r="G1061" i="1" l="1"/>
  <c r="H1061" i="1" s="1"/>
  <c r="I1060" i="1"/>
  <c r="G1062" i="1" l="1"/>
  <c r="H1062" i="1" s="1"/>
  <c r="I1061" i="1"/>
  <c r="G1063" i="1" l="1"/>
  <c r="H1063" i="1" s="1"/>
  <c r="I1062" i="1"/>
  <c r="G1064" i="1" l="1"/>
  <c r="H1064" i="1" s="1"/>
  <c r="I1063" i="1"/>
  <c r="G1065" i="1" l="1"/>
  <c r="H1065" i="1" s="1"/>
  <c r="I1064" i="1"/>
  <c r="G1066" i="1" l="1"/>
  <c r="H1066" i="1" s="1"/>
  <c r="I1065" i="1"/>
  <c r="G1067" i="1" l="1"/>
  <c r="H1067" i="1" s="1"/>
  <c r="I1066" i="1"/>
  <c r="G1068" i="1" l="1"/>
  <c r="H1068" i="1" s="1"/>
  <c r="I1067" i="1"/>
  <c r="G1069" i="1" l="1"/>
  <c r="H1069" i="1" s="1"/>
  <c r="I1068" i="1"/>
  <c r="G1070" i="1" l="1"/>
  <c r="H1070" i="1" s="1"/>
  <c r="I1070" i="1" s="1"/>
  <c r="I1069" i="1"/>
  <c r="G1071" i="1" l="1"/>
  <c r="H1071" i="1" s="1"/>
  <c r="G1072" i="1" l="1"/>
  <c r="H1072" i="1" s="1"/>
  <c r="I1071" i="1"/>
  <c r="G1073" i="1" l="1"/>
  <c r="H1073" i="1" s="1"/>
  <c r="I1072" i="1"/>
  <c r="G1074" i="1" l="1"/>
  <c r="H1074" i="1" s="1"/>
  <c r="I1073" i="1"/>
  <c r="G1075" i="1" l="1"/>
  <c r="H1075" i="1" s="1"/>
  <c r="I1074" i="1"/>
  <c r="G1076" i="1" l="1"/>
  <c r="H1076" i="1" s="1"/>
  <c r="I1075" i="1"/>
  <c r="G1077" i="1" l="1"/>
  <c r="H1077" i="1" s="1"/>
  <c r="I1076" i="1"/>
  <c r="G1078" i="1" l="1"/>
  <c r="H1078" i="1" s="1"/>
  <c r="I1077" i="1"/>
  <c r="G1079" i="1" l="1"/>
  <c r="H1079" i="1" s="1"/>
  <c r="I1078" i="1"/>
  <c r="G1080" i="1" l="1"/>
  <c r="H1080" i="1" s="1"/>
  <c r="I1079" i="1"/>
  <c r="G1081" i="1" l="1"/>
  <c r="H1081" i="1" s="1"/>
  <c r="I1080" i="1"/>
  <c r="G1082" i="1" l="1"/>
  <c r="H1082" i="1" s="1"/>
  <c r="I1081" i="1"/>
  <c r="G1083" i="1" l="1"/>
  <c r="H1083" i="1" s="1"/>
  <c r="I1082" i="1"/>
  <c r="G1084" i="1" l="1"/>
  <c r="H1084" i="1" s="1"/>
  <c r="I1083" i="1"/>
  <c r="G1085" i="1" l="1"/>
  <c r="H1085" i="1" s="1"/>
  <c r="I1084" i="1"/>
  <c r="G1086" i="1" l="1"/>
  <c r="H1086" i="1" s="1"/>
  <c r="I1085" i="1"/>
  <c r="G1087" i="1" l="1"/>
  <c r="H1087" i="1" s="1"/>
  <c r="I1086" i="1"/>
  <c r="G1088" i="1" l="1"/>
  <c r="H1088" i="1" s="1"/>
  <c r="I1087" i="1"/>
  <c r="G1089" i="1" l="1"/>
  <c r="H1089" i="1" s="1"/>
  <c r="I1088" i="1"/>
  <c r="G1090" i="1" l="1"/>
  <c r="H1090" i="1" s="1"/>
  <c r="I1089" i="1"/>
  <c r="G1091" i="1" l="1"/>
  <c r="H1091" i="1" s="1"/>
  <c r="I1090" i="1"/>
  <c r="G1092" i="1" l="1"/>
  <c r="H1092" i="1" s="1"/>
  <c r="I1091" i="1"/>
  <c r="G1093" i="1" l="1"/>
  <c r="H1093" i="1" s="1"/>
  <c r="I1092" i="1"/>
  <c r="G1094" i="1" l="1"/>
  <c r="H1094" i="1" s="1"/>
  <c r="I1093" i="1"/>
  <c r="G1095" i="1" l="1"/>
  <c r="H1095" i="1" s="1"/>
  <c r="I1094" i="1"/>
  <c r="G1096" i="1" l="1"/>
  <c r="H1096" i="1" s="1"/>
  <c r="I1095" i="1"/>
  <c r="G1097" i="1" l="1"/>
  <c r="H1097" i="1" s="1"/>
  <c r="I1096" i="1"/>
  <c r="G1098" i="1" l="1"/>
  <c r="H1098" i="1" s="1"/>
  <c r="I1098" i="1" s="1"/>
  <c r="I1097" i="1"/>
  <c r="G1099" i="1" l="1"/>
  <c r="H1099" i="1" s="1"/>
  <c r="G1100" i="1" l="1"/>
  <c r="H1100" i="1" s="1"/>
  <c r="I1099" i="1"/>
  <c r="G1101" i="1" l="1"/>
  <c r="H1101" i="1" s="1"/>
  <c r="I1100" i="1"/>
  <c r="G1102" i="1" l="1"/>
  <c r="H1102" i="1" s="1"/>
  <c r="I1101" i="1"/>
  <c r="G1103" i="1" l="1"/>
  <c r="H1103" i="1" s="1"/>
  <c r="I1102" i="1"/>
  <c r="G1104" i="1" l="1"/>
  <c r="H1104" i="1" s="1"/>
  <c r="I1103" i="1"/>
  <c r="G1105" i="1" l="1"/>
  <c r="H1105" i="1" s="1"/>
  <c r="I1105" i="1" s="1"/>
  <c r="I1104" i="1"/>
  <c r="G1106" i="1" l="1"/>
  <c r="H1106" i="1" s="1"/>
  <c r="G1107" i="1" l="1"/>
  <c r="H1107" i="1" s="1"/>
  <c r="I1106" i="1"/>
  <c r="G1108" i="1" l="1"/>
  <c r="H1108" i="1" s="1"/>
  <c r="I1107" i="1"/>
  <c r="G1109" i="1" l="1"/>
  <c r="H1109" i="1" s="1"/>
  <c r="I1108" i="1"/>
  <c r="G1110" i="1" l="1"/>
  <c r="H1110" i="1" s="1"/>
  <c r="I1109" i="1"/>
  <c r="G1111" i="1" l="1"/>
  <c r="H1111" i="1" s="1"/>
  <c r="I1110" i="1"/>
  <c r="G1112" i="1" l="1"/>
  <c r="H1112" i="1" s="1"/>
  <c r="I1111" i="1"/>
  <c r="G1113" i="1" l="1"/>
  <c r="H1113" i="1" s="1"/>
  <c r="I1112" i="1"/>
  <c r="G1114" i="1" l="1"/>
  <c r="H1114" i="1" s="1"/>
  <c r="I1113" i="1"/>
  <c r="G1115" i="1" l="1"/>
  <c r="H1115" i="1" s="1"/>
  <c r="I1114" i="1"/>
  <c r="G1116" i="1" l="1"/>
  <c r="H1116" i="1" s="1"/>
  <c r="I1115" i="1"/>
  <c r="G1117" i="1" l="1"/>
  <c r="H1117" i="1" s="1"/>
  <c r="I1116" i="1"/>
  <c r="G1118" i="1" l="1"/>
  <c r="H1118" i="1" s="1"/>
  <c r="I1117" i="1"/>
  <c r="G1119" i="1" l="1"/>
  <c r="H1119" i="1" s="1"/>
  <c r="I1118" i="1"/>
  <c r="G1120" i="1" l="1"/>
  <c r="H1120" i="1" s="1"/>
  <c r="I1120" i="1" s="1"/>
  <c r="I1119" i="1"/>
  <c r="G1121" i="1" l="1"/>
  <c r="H1121" i="1" s="1"/>
  <c r="G1122" i="1" l="1"/>
  <c r="H1122" i="1" s="1"/>
  <c r="I1121" i="1"/>
  <c r="G1123" i="1" l="1"/>
  <c r="H1123" i="1" s="1"/>
  <c r="I1122" i="1"/>
  <c r="G1124" i="1" l="1"/>
  <c r="H1124" i="1" s="1"/>
  <c r="I1123" i="1"/>
  <c r="G1125" i="1" l="1"/>
  <c r="H1125" i="1" s="1"/>
  <c r="I1124" i="1"/>
  <c r="G1126" i="1" l="1"/>
  <c r="H1126" i="1" s="1"/>
  <c r="I1125" i="1"/>
  <c r="G1127" i="1" l="1"/>
  <c r="H1127" i="1" s="1"/>
  <c r="I1126" i="1"/>
  <c r="G1128" i="1" l="1"/>
  <c r="H1128" i="1" s="1"/>
  <c r="I1127" i="1"/>
  <c r="G1129" i="1" l="1"/>
  <c r="H1129" i="1" s="1"/>
  <c r="I1128" i="1"/>
  <c r="G1130" i="1" l="1"/>
  <c r="H1130" i="1" s="1"/>
  <c r="I1129" i="1"/>
  <c r="G1131" i="1" l="1"/>
  <c r="H1131" i="1" s="1"/>
  <c r="I1130" i="1"/>
  <c r="G1132" i="1" l="1"/>
  <c r="H1132" i="1" s="1"/>
  <c r="I1131" i="1"/>
  <c r="G1133" i="1" l="1"/>
  <c r="H1133" i="1" s="1"/>
  <c r="I1132" i="1"/>
  <c r="G1134" i="1" l="1"/>
  <c r="H1134" i="1" s="1"/>
  <c r="I1133" i="1"/>
  <c r="G1135" i="1" l="1"/>
  <c r="H1135" i="1" s="1"/>
  <c r="I1134" i="1"/>
  <c r="G1136" i="1" l="1"/>
  <c r="H1136" i="1" s="1"/>
  <c r="I1135" i="1"/>
  <c r="G1137" i="1" l="1"/>
  <c r="H1137" i="1" s="1"/>
  <c r="I1136" i="1"/>
  <c r="G1138" i="1" l="1"/>
  <c r="H1138" i="1" s="1"/>
  <c r="I1137" i="1"/>
  <c r="G1139" i="1" l="1"/>
  <c r="H1139" i="1" s="1"/>
  <c r="I1138" i="1"/>
  <c r="G1140" i="1" l="1"/>
  <c r="H1140" i="1" s="1"/>
  <c r="I1139" i="1"/>
  <c r="G1141" i="1" l="1"/>
  <c r="H1141" i="1" s="1"/>
  <c r="I1140" i="1"/>
  <c r="G1142" i="1" l="1"/>
  <c r="H1142" i="1" s="1"/>
  <c r="I1141" i="1"/>
  <c r="G1143" i="1" l="1"/>
  <c r="H1143" i="1" s="1"/>
  <c r="I1142" i="1"/>
  <c r="G1144" i="1" l="1"/>
  <c r="H1144" i="1" s="1"/>
  <c r="I1143" i="1"/>
  <c r="G1145" i="1" l="1"/>
  <c r="H1145" i="1" s="1"/>
  <c r="I1144" i="1"/>
  <c r="G1146" i="1" l="1"/>
  <c r="H1146" i="1" s="1"/>
  <c r="I1145" i="1"/>
  <c r="G1147" i="1" l="1"/>
  <c r="H1147" i="1" s="1"/>
  <c r="I1146" i="1"/>
  <c r="G1148" i="1" l="1"/>
  <c r="H1148" i="1" s="1"/>
  <c r="I1147" i="1"/>
  <c r="G1149" i="1" l="1"/>
  <c r="H1149" i="1" s="1"/>
  <c r="I1148" i="1"/>
  <c r="G1150" i="1" l="1"/>
  <c r="H1150" i="1" s="1"/>
  <c r="I1149" i="1"/>
  <c r="G1151" i="1" l="1"/>
  <c r="H1151" i="1" s="1"/>
  <c r="I1150" i="1"/>
  <c r="G1152" i="1" l="1"/>
  <c r="H1152" i="1" s="1"/>
  <c r="I1151" i="1"/>
  <c r="G1153" i="1" l="1"/>
  <c r="H1153" i="1" s="1"/>
  <c r="I1152" i="1"/>
  <c r="G1154" i="1" l="1"/>
  <c r="H1154" i="1" s="1"/>
  <c r="I1153" i="1"/>
  <c r="G1155" i="1" l="1"/>
  <c r="H1155" i="1" s="1"/>
  <c r="I1154" i="1"/>
  <c r="G1156" i="1" l="1"/>
  <c r="H1156" i="1" s="1"/>
  <c r="I1155" i="1"/>
  <c r="G1157" i="1" l="1"/>
  <c r="H1157" i="1" s="1"/>
  <c r="I1157" i="1" s="1"/>
  <c r="I1156" i="1"/>
  <c r="G1158" i="1" l="1"/>
  <c r="H1158" i="1" s="1"/>
  <c r="G1159" i="1" l="1"/>
  <c r="H1159" i="1" s="1"/>
  <c r="I1159" i="1" s="1"/>
  <c r="I1158" i="1"/>
  <c r="G1160" i="1" l="1"/>
  <c r="H1160" i="1" s="1"/>
  <c r="G1161" i="1" l="1"/>
  <c r="H1161" i="1" s="1"/>
  <c r="I1160" i="1"/>
  <c r="G1162" i="1" l="1"/>
  <c r="H1162" i="1" s="1"/>
  <c r="I1161" i="1"/>
  <c r="G1163" i="1" l="1"/>
  <c r="H1163" i="1" s="1"/>
  <c r="I1162" i="1"/>
  <c r="G1164" i="1" l="1"/>
  <c r="H1164" i="1" s="1"/>
  <c r="I1163" i="1"/>
  <c r="G1165" i="1" l="1"/>
  <c r="H1165" i="1" s="1"/>
  <c r="I1164" i="1"/>
  <c r="G1166" i="1" l="1"/>
  <c r="H1166" i="1" s="1"/>
  <c r="I1165" i="1"/>
  <c r="G1167" i="1" l="1"/>
  <c r="H1167" i="1" s="1"/>
  <c r="I1166" i="1"/>
  <c r="G1168" i="1" l="1"/>
  <c r="H1168" i="1" s="1"/>
  <c r="I1167" i="1"/>
  <c r="G1169" i="1" l="1"/>
  <c r="H1169" i="1" s="1"/>
  <c r="I1168" i="1"/>
  <c r="G1170" i="1" l="1"/>
  <c r="H1170" i="1" s="1"/>
  <c r="I1169" i="1"/>
  <c r="G1171" i="1" l="1"/>
  <c r="H1171" i="1" s="1"/>
  <c r="I1170" i="1"/>
  <c r="G1172" i="1" l="1"/>
  <c r="H1172" i="1" s="1"/>
  <c r="I1171" i="1"/>
  <c r="G1173" i="1" l="1"/>
  <c r="H1173" i="1" s="1"/>
  <c r="I1172" i="1"/>
  <c r="G1174" i="1" l="1"/>
  <c r="H1174" i="1" s="1"/>
  <c r="I1173" i="1"/>
  <c r="G1175" i="1" l="1"/>
  <c r="H1175" i="1" s="1"/>
  <c r="I1174" i="1"/>
  <c r="G1176" i="1" l="1"/>
  <c r="H1176" i="1" s="1"/>
  <c r="I1175" i="1"/>
  <c r="G1177" i="1" l="1"/>
  <c r="H1177" i="1" s="1"/>
  <c r="I1176" i="1"/>
  <c r="G1178" i="1" l="1"/>
  <c r="H1178" i="1" s="1"/>
  <c r="I1177" i="1"/>
  <c r="G1179" i="1" l="1"/>
  <c r="H1179" i="1" s="1"/>
  <c r="I1178" i="1"/>
  <c r="G1180" i="1" l="1"/>
  <c r="H1180" i="1" s="1"/>
  <c r="I1179" i="1"/>
  <c r="G1181" i="1" l="1"/>
  <c r="H1181" i="1" s="1"/>
  <c r="I1181" i="1" s="1"/>
  <c r="I1180" i="1"/>
  <c r="G1182" i="1" l="1"/>
  <c r="H1182" i="1" s="1"/>
  <c r="G1183" i="1" l="1"/>
  <c r="H1183" i="1" s="1"/>
  <c r="I1182" i="1"/>
  <c r="G1184" i="1" l="1"/>
  <c r="H1184" i="1" s="1"/>
  <c r="I1183" i="1"/>
  <c r="G1185" i="1" l="1"/>
  <c r="H1185" i="1" s="1"/>
  <c r="I1185" i="1" s="1"/>
  <c r="I1184" i="1"/>
  <c r="G1186" i="1" l="1"/>
  <c r="H1186" i="1" s="1"/>
  <c r="G1187" i="1" l="1"/>
  <c r="H1187" i="1" s="1"/>
  <c r="I1186" i="1"/>
  <c r="G1188" i="1" l="1"/>
  <c r="H1188" i="1" s="1"/>
  <c r="I1187" i="1"/>
  <c r="G1189" i="1" l="1"/>
  <c r="H1189" i="1" s="1"/>
  <c r="I1188" i="1"/>
  <c r="G1190" i="1" l="1"/>
  <c r="H1190" i="1" s="1"/>
  <c r="I1189" i="1"/>
  <c r="G1191" i="1" l="1"/>
  <c r="H1191" i="1" s="1"/>
  <c r="I1190" i="1"/>
  <c r="G1192" i="1" l="1"/>
  <c r="H1192" i="1" s="1"/>
  <c r="I1191" i="1"/>
  <c r="G1193" i="1" l="1"/>
  <c r="H1193" i="1" s="1"/>
  <c r="I1192" i="1"/>
  <c r="G1194" i="1" l="1"/>
  <c r="H1194" i="1" s="1"/>
  <c r="I1193" i="1"/>
  <c r="G1195" i="1" l="1"/>
  <c r="H1195" i="1" s="1"/>
  <c r="I1194" i="1"/>
  <c r="G1196" i="1" l="1"/>
  <c r="H1196" i="1" s="1"/>
  <c r="I1195" i="1"/>
  <c r="G1197" i="1" l="1"/>
  <c r="H1197" i="1" s="1"/>
  <c r="I1196" i="1"/>
  <c r="G1198" i="1" l="1"/>
  <c r="H1198" i="1" s="1"/>
  <c r="I1197" i="1"/>
  <c r="G1199" i="1" l="1"/>
  <c r="H1199" i="1" s="1"/>
  <c r="I1198" i="1"/>
  <c r="G1200" i="1" l="1"/>
  <c r="H1200" i="1" s="1"/>
  <c r="I1199" i="1"/>
  <c r="G1201" i="1" l="1"/>
  <c r="H1201" i="1" s="1"/>
  <c r="I1200" i="1"/>
  <c r="G1202" i="1" l="1"/>
  <c r="H1202" i="1" s="1"/>
  <c r="I1201" i="1"/>
  <c r="G1203" i="1" l="1"/>
  <c r="H1203" i="1" s="1"/>
  <c r="I1202" i="1"/>
  <c r="G1204" i="1" l="1"/>
  <c r="H1204" i="1" s="1"/>
  <c r="I1203" i="1"/>
  <c r="G1205" i="1" l="1"/>
  <c r="H1205" i="1" s="1"/>
  <c r="I1204" i="1"/>
  <c r="G1206" i="1" l="1"/>
  <c r="H1206" i="1" s="1"/>
  <c r="I1205" i="1"/>
  <c r="G1207" i="1" l="1"/>
  <c r="H1207" i="1" s="1"/>
  <c r="I1206" i="1"/>
  <c r="G1208" i="1" l="1"/>
  <c r="H1208" i="1" s="1"/>
  <c r="I1207" i="1"/>
  <c r="G1209" i="1" l="1"/>
  <c r="H1209" i="1" s="1"/>
  <c r="I1208" i="1"/>
  <c r="G1210" i="1" l="1"/>
  <c r="H1210" i="1" s="1"/>
  <c r="I1209" i="1"/>
  <c r="G1211" i="1" l="1"/>
  <c r="H1211" i="1" s="1"/>
  <c r="I1210" i="1"/>
  <c r="G1212" i="1" l="1"/>
  <c r="H1212" i="1" s="1"/>
  <c r="I1211" i="1"/>
  <c r="G1213" i="1" l="1"/>
  <c r="H1213" i="1" s="1"/>
  <c r="I1212" i="1"/>
  <c r="G1214" i="1" l="1"/>
  <c r="H1214" i="1" s="1"/>
  <c r="I1213" i="1"/>
  <c r="G1215" i="1" l="1"/>
  <c r="H1215" i="1" s="1"/>
  <c r="I1214" i="1"/>
  <c r="G1216" i="1" l="1"/>
  <c r="H1216" i="1" s="1"/>
  <c r="I1215" i="1"/>
  <c r="G1217" i="1" l="1"/>
  <c r="H1217" i="1" s="1"/>
  <c r="I1216" i="1"/>
  <c r="G1218" i="1" l="1"/>
  <c r="H1218" i="1" s="1"/>
  <c r="I1217" i="1"/>
  <c r="G1219" i="1" l="1"/>
  <c r="H1219" i="1" s="1"/>
  <c r="I1218" i="1"/>
  <c r="G1220" i="1" l="1"/>
  <c r="H1220" i="1" s="1"/>
  <c r="I1219" i="1"/>
  <c r="G1221" i="1" l="1"/>
  <c r="H1221" i="1" s="1"/>
  <c r="I1220" i="1"/>
  <c r="G1222" i="1" l="1"/>
  <c r="H1222" i="1" s="1"/>
  <c r="I1221" i="1"/>
  <c r="G1223" i="1" l="1"/>
  <c r="H1223" i="1" s="1"/>
  <c r="I1222" i="1"/>
  <c r="G1224" i="1" l="1"/>
  <c r="H1224" i="1" s="1"/>
  <c r="I1223" i="1"/>
  <c r="G1225" i="1" l="1"/>
  <c r="H1225" i="1" s="1"/>
  <c r="I1224" i="1"/>
  <c r="G1226" i="1" l="1"/>
  <c r="H1226" i="1" s="1"/>
  <c r="I1225" i="1"/>
  <c r="G1227" i="1" l="1"/>
  <c r="H1227" i="1" s="1"/>
  <c r="I1226" i="1"/>
  <c r="G1228" i="1" l="1"/>
  <c r="H1228" i="1" s="1"/>
  <c r="I1227" i="1"/>
  <c r="G1229" i="1" l="1"/>
  <c r="H1229" i="1" s="1"/>
  <c r="I1228" i="1"/>
  <c r="G1230" i="1" l="1"/>
  <c r="H1230" i="1" s="1"/>
  <c r="I1229" i="1"/>
  <c r="G1231" i="1" l="1"/>
  <c r="H1231" i="1" s="1"/>
  <c r="I1230" i="1"/>
  <c r="G1232" i="1" l="1"/>
  <c r="H1232" i="1" s="1"/>
  <c r="I1231" i="1"/>
  <c r="G1233" i="1" l="1"/>
  <c r="H1233" i="1" s="1"/>
  <c r="I1232" i="1"/>
  <c r="G1234" i="1" l="1"/>
  <c r="H1234" i="1" s="1"/>
  <c r="I1233" i="1"/>
  <c r="G1235" i="1" l="1"/>
  <c r="H1235" i="1" s="1"/>
  <c r="I1234" i="1"/>
  <c r="G1236" i="1" l="1"/>
  <c r="H1236" i="1" s="1"/>
  <c r="I1235" i="1"/>
  <c r="G1237" i="1" l="1"/>
  <c r="H1237" i="1" s="1"/>
  <c r="I1236" i="1"/>
  <c r="G1238" i="1" l="1"/>
  <c r="H1238" i="1" s="1"/>
  <c r="I1237" i="1"/>
  <c r="G1239" i="1" l="1"/>
  <c r="H1239" i="1" s="1"/>
  <c r="I1238" i="1"/>
  <c r="G1240" i="1" l="1"/>
  <c r="H1240" i="1" s="1"/>
  <c r="I1239" i="1"/>
  <c r="G1241" i="1" l="1"/>
  <c r="H1241" i="1" s="1"/>
  <c r="I1240" i="1"/>
  <c r="G1242" i="1" l="1"/>
  <c r="H1242" i="1" s="1"/>
  <c r="I1241" i="1"/>
  <c r="G1243" i="1" l="1"/>
  <c r="H1243" i="1" s="1"/>
  <c r="I1242" i="1"/>
  <c r="G1244" i="1" l="1"/>
  <c r="H1244" i="1" s="1"/>
  <c r="I1243" i="1"/>
  <c r="G1245" i="1" l="1"/>
  <c r="H1245" i="1" s="1"/>
  <c r="I1244" i="1"/>
  <c r="G1246" i="1" l="1"/>
  <c r="H1246" i="1" s="1"/>
  <c r="I1245" i="1"/>
  <c r="G1247" i="1" l="1"/>
  <c r="H1247" i="1" s="1"/>
  <c r="I1246" i="1"/>
  <c r="G1248" i="1" l="1"/>
  <c r="H1248" i="1" s="1"/>
  <c r="I1247" i="1"/>
  <c r="G1249" i="1" l="1"/>
  <c r="H1249" i="1" s="1"/>
  <c r="I1248" i="1"/>
  <c r="G1250" i="1" l="1"/>
  <c r="H1250" i="1" s="1"/>
  <c r="I1249" i="1"/>
  <c r="G1251" i="1" l="1"/>
  <c r="H1251" i="1" s="1"/>
  <c r="I1250" i="1"/>
  <c r="G1252" i="1" l="1"/>
  <c r="H1252" i="1" s="1"/>
  <c r="I1251" i="1"/>
  <c r="G1253" i="1" l="1"/>
  <c r="H1253" i="1" s="1"/>
  <c r="I1252" i="1"/>
  <c r="G1254" i="1" l="1"/>
  <c r="H1254" i="1" s="1"/>
  <c r="I1253" i="1"/>
  <c r="G1255" i="1" l="1"/>
  <c r="H1255" i="1" s="1"/>
  <c r="I1254" i="1"/>
  <c r="G1256" i="1" l="1"/>
  <c r="H1256" i="1" s="1"/>
  <c r="I1255" i="1"/>
  <c r="G1257" i="1" l="1"/>
  <c r="H1257" i="1" s="1"/>
  <c r="I1256" i="1"/>
  <c r="G1258" i="1" l="1"/>
  <c r="H1258" i="1" s="1"/>
  <c r="I1257" i="1"/>
  <c r="G1259" i="1" l="1"/>
  <c r="H1259" i="1" s="1"/>
  <c r="I1258" i="1"/>
  <c r="G1260" i="1" l="1"/>
  <c r="H1260" i="1" s="1"/>
  <c r="I1259" i="1"/>
  <c r="G1261" i="1" l="1"/>
  <c r="H1261" i="1" s="1"/>
  <c r="I1260" i="1"/>
  <c r="G1262" i="1" l="1"/>
  <c r="H1262" i="1" s="1"/>
  <c r="I1261" i="1"/>
  <c r="G1263" i="1" l="1"/>
  <c r="H1263" i="1" s="1"/>
  <c r="I1262" i="1"/>
  <c r="G1264" i="1" l="1"/>
  <c r="H1264" i="1" s="1"/>
  <c r="I1263" i="1"/>
  <c r="G1265" i="1" l="1"/>
  <c r="H1265" i="1" s="1"/>
  <c r="I1264" i="1"/>
  <c r="G1266" i="1" l="1"/>
  <c r="H1266" i="1" s="1"/>
  <c r="I1265" i="1"/>
  <c r="G1267" i="1" l="1"/>
  <c r="H1267" i="1" s="1"/>
  <c r="I1266" i="1"/>
  <c r="G1268" i="1" l="1"/>
  <c r="H1268" i="1" s="1"/>
  <c r="I1267" i="1"/>
  <c r="G1269" i="1" l="1"/>
  <c r="H1269" i="1" s="1"/>
  <c r="I1268" i="1"/>
  <c r="G1270" i="1" l="1"/>
  <c r="H1270" i="1" s="1"/>
  <c r="I1269" i="1"/>
  <c r="G1271" i="1" l="1"/>
  <c r="H1271" i="1" s="1"/>
  <c r="I1270" i="1"/>
  <c r="G1272" i="1" l="1"/>
  <c r="H1272" i="1" s="1"/>
  <c r="I1271" i="1"/>
  <c r="G1273" i="1" l="1"/>
  <c r="H1273" i="1" s="1"/>
  <c r="I1272" i="1"/>
  <c r="G1274" i="1" l="1"/>
  <c r="H1274" i="1" s="1"/>
  <c r="I1273" i="1"/>
  <c r="G1275" i="1" l="1"/>
  <c r="H1275" i="1" s="1"/>
  <c r="I1275" i="1" s="1"/>
  <c r="I1274" i="1"/>
  <c r="G1276" i="1" l="1"/>
  <c r="H1276" i="1" s="1"/>
  <c r="G1277" i="1" l="1"/>
  <c r="H1277" i="1" s="1"/>
  <c r="I1276" i="1"/>
  <c r="G1278" i="1" l="1"/>
  <c r="H1278" i="1" s="1"/>
  <c r="I1277" i="1"/>
  <c r="G1279" i="1" l="1"/>
  <c r="H1279" i="1" s="1"/>
  <c r="I1278" i="1"/>
  <c r="G1280" i="1" l="1"/>
  <c r="H1280" i="1" s="1"/>
  <c r="I1279" i="1"/>
  <c r="G1281" i="1" l="1"/>
  <c r="H1281" i="1" s="1"/>
  <c r="I1280" i="1"/>
  <c r="G1282" i="1" l="1"/>
  <c r="H1282" i="1" s="1"/>
  <c r="I1281" i="1"/>
  <c r="G1283" i="1" l="1"/>
  <c r="H1283" i="1" s="1"/>
  <c r="I1282" i="1"/>
  <c r="G1284" i="1" l="1"/>
  <c r="H1284" i="1" s="1"/>
  <c r="I1283" i="1"/>
  <c r="G1285" i="1" l="1"/>
  <c r="H1285" i="1" s="1"/>
  <c r="I1284" i="1"/>
  <c r="G1286" i="1" l="1"/>
  <c r="H1286" i="1" s="1"/>
  <c r="I1285" i="1"/>
  <c r="G1287" i="1" l="1"/>
  <c r="H1287" i="1" s="1"/>
  <c r="I1286" i="1"/>
  <c r="G1288" i="1" l="1"/>
  <c r="H1288" i="1" s="1"/>
  <c r="I1287" i="1"/>
  <c r="G1289" i="1" l="1"/>
  <c r="H1289" i="1" s="1"/>
  <c r="I1288" i="1"/>
  <c r="G1290" i="1" l="1"/>
  <c r="H1290" i="1" s="1"/>
  <c r="I1290" i="1" s="1"/>
  <c r="I1289" i="1"/>
  <c r="G1291" i="1" l="1"/>
  <c r="H1291" i="1" s="1"/>
  <c r="G1292" i="1" l="1"/>
  <c r="H1292" i="1" s="1"/>
  <c r="I1291" i="1"/>
  <c r="G1293" i="1" l="1"/>
  <c r="H1293" i="1" s="1"/>
  <c r="I1292" i="1"/>
  <c r="G1294" i="1" l="1"/>
  <c r="H1294" i="1" s="1"/>
  <c r="I1293" i="1"/>
  <c r="G1295" i="1" l="1"/>
  <c r="H1295" i="1" s="1"/>
  <c r="I1294" i="1"/>
  <c r="G1296" i="1" l="1"/>
  <c r="H1296" i="1" s="1"/>
  <c r="I1295" i="1"/>
  <c r="G1297" i="1" l="1"/>
  <c r="H1297" i="1" s="1"/>
  <c r="I1296" i="1"/>
  <c r="G1298" i="1" l="1"/>
  <c r="H1298" i="1" s="1"/>
  <c r="I1297" i="1"/>
  <c r="G1299" i="1" l="1"/>
  <c r="H1299" i="1" s="1"/>
  <c r="I1298" i="1"/>
  <c r="G1300" i="1" l="1"/>
  <c r="H1300" i="1" s="1"/>
  <c r="I1299" i="1"/>
  <c r="G1301" i="1" l="1"/>
  <c r="H1301" i="1" s="1"/>
  <c r="I1300" i="1"/>
  <c r="G1302" i="1" l="1"/>
  <c r="H1302" i="1" s="1"/>
  <c r="I1301" i="1"/>
  <c r="G1303" i="1" l="1"/>
  <c r="H1303" i="1" s="1"/>
  <c r="I1302" i="1"/>
  <c r="G1304" i="1" l="1"/>
  <c r="H1304" i="1" s="1"/>
  <c r="I1303" i="1"/>
  <c r="G1305" i="1" l="1"/>
  <c r="H1305" i="1" s="1"/>
  <c r="I1304" i="1"/>
  <c r="G1306" i="1" l="1"/>
  <c r="H1306" i="1" s="1"/>
  <c r="I1305" i="1"/>
  <c r="G1307" i="1" l="1"/>
  <c r="H1307" i="1" s="1"/>
  <c r="I1306" i="1"/>
  <c r="G1308" i="1" l="1"/>
  <c r="H1308" i="1" s="1"/>
  <c r="I1307" i="1"/>
  <c r="G1309" i="1" l="1"/>
  <c r="H1309" i="1" s="1"/>
  <c r="I1308" i="1"/>
  <c r="G1310" i="1" l="1"/>
  <c r="H1310" i="1" s="1"/>
  <c r="I1309" i="1"/>
  <c r="G1311" i="1" l="1"/>
  <c r="H1311" i="1" s="1"/>
  <c r="I1310" i="1"/>
  <c r="G1312" i="1" l="1"/>
  <c r="H1312" i="1" s="1"/>
  <c r="I1311" i="1"/>
  <c r="G1313" i="1" l="1"/>
  <c r="H1313" i="1" s="1"/>
  <c r="I1312" i="1"/>
  <c r="G1314" i="1" l="1"/>
  <c r="H1314" i="1" s="1"/>
  <c r="I1313" i="1"/>
  <c r="G1315" i="1" l="1"/>
  <c r="H1315" i="1" s="1"/>
  <c r="I1314" i="1"/>
  <c r="G1316" i="1" l="1"/>
  <c r="H1316" i="1" s="1"/>
  <c r="I1315" i="1"/>
  <c r="G1317" i="1" l="1"/>
  <c r="H1317" i="1" s="1"/>
  <c r="I1316" i="1"/>
  <c r="G1318" i="1" l="1"/>
  <c r="H1318" i="1" s="1"/>
  <c r="I1317" i="1"/>
  <c r="G1319" i="1" l="1"/>
  <c r="H1319" i="1" s="1"/>
  <c r="I1318" i="1"/>
  <c r="G1320" i="1" l="1"/>
  <c r="H1320" i="1" s="1"/>
  <c r="I1319" i="1"/>
  <c r="G1321" i="1" l="1"/>
  <c r="H1321" i="1" s="1"/>
  <c r="I1320" i="1"/>
  <c r="G1322" i="1" l="1"/>
  <c r="H1322" i="1" s="1"/>
  <c r="I1321" i="1"/>
  <c r="G1323" i="1" l="1"/>
  <c r="H1323" i="1" s="1"/>
  <c r="I1322" i="1"/>
  <c r="G1324" i="1" l="1"/>
  <c r="H1324" i="1" s="1"/>
  <c r="I1323" i="1"/>
  <c r="G1325" i="1" l="1"/>
  <c r="H1325" i="1" s="1"/>
  <c r="I1324" i="1"/>
  <c r="G1326" i="1" l="1"/>
  <c r="H1326" i="1" s="1"/>
  <c r="I1325" i="1"/>
  <c r="G1327" i="1" l="1"/>
  <c r="H1327" i="1" s="1"/>
  <c r="I1326" i="1"/>
  <c r="G1328" i="1" l="1"/>
  <c r="H1328" i="1" s="1"/>
  <c r="I1327" i="1"/>
  <c r="G1329" i="1" l="1"/>
  <c r="H1329" i="1" s="1"/>
  <c r="I1328" i="1"/>
  <c r="G1330" i="1" l="1"/>
  <c r="H1330" i="1" s="1"/>
  <c r="I1329" i="1"/>
  <c r="G1331" i="1" l="1"/>
  <c r="H1331" i="1" s="1"/>
  <c r="I1330" i="1"/>
  <c r="G1332" i="1" l="1"/>
  <c r="H1332" i="1" s="1"/>
  <c r="I1331" i="1"/>
  <c r="G1333" i="1" l="1"/>
  <c r="H1333" i="1" s="1"/>
  <c r="I1332" i="1"/>
  <c r="G1334" i="1" l="1"/>
  <c r="H1334" i="1" s="1"/>
  <c r="I1333" i="1"/>
  <c r="G1335" i="1" l="1"/>
  <c r="H1335" i="1" s="1"/>
  <c r="I1334" i="1"/>
  <c r="G1336" i="1" l="1"/>
  <c r="H1336" i="1" s="1"/>
  <c r="I1335" i="1"/>
  <c r="G1337" i="1" l="1"/>
  <c r="H1337" i="1" s="1"/>
  <c r="I1336" i="1"/>
  <c r="G1338" i="1" l="1"/>
  <c r="H1338" i="1" s="1"/>
  <c r="I1337" i="1"/>
  <c r="G1339" i="1" l="1"/>
  <c r="H1339" i="1" s="1"/>
  <c r="I1338" i="1"/>
  <c r="G1340" i="1" l="1"/>
  <c r="H1340" i="1" s="1"/>
  <c r="I1339" i="1"/>
  <c r="G1341" i="1" l="1"/>
  <c r="H1341" i="1" s="1"/>
  <c r="I1340" i="1"/>
  <c r="G1342" i="1" l="1"/>
  <c r="H1342" i="1" s="1"/>
  <c r="I1341" i="1"/>
  <c r="G1343" i="1" l="1"/>
  <c r="H1343" i="1" s="1"/>
  <c r="I1342" i="1"/>
  <c r="G1344" i="1" l="1"/>
  <c r="H1344" i="1" s="1"/>
  <c r="I1343" i="1"/>
  <c r="G1345" i="1" l="1"/>
  <c r="H1345" i="1" s="1"/>
  <c r="I1344" i="1"/>
  <c r="G1346" i="1" l="1"/>
  <c r="H1346" i="1" s="1"/>
  <c r="I1345" i="1"/>
  <c r="G1347" i="1" l="1"/>
  <c r="H1347" i="1" s="1"/>
  <c r="I1346" i="1"/>
  <c r="G1348" i="1" l="1"/>
  <c r="H1348" i="1" s="1"/>
  <c r="I1347" i="1"/>
  <c r="G1349" i="1" l="1"/>
  <c r="H1349" i="1" s="1"/>
  <c r="I1348" i="1"/>
  <c r="G1350" i="1" l="1"/>
  <c r="H1350" i="1" s="1"/>
  <c r="I1349" i="1"/>
  <c r="G1351" i="1" l="1"/>
  <c r="H1351" i="1" s="1"/>
  <c r="I1350" i="1"/>
  <c r="G1352" i="1" l="1"/>
  <c r="H1352" i="1" s="1"/>
  <c r="I1351" i="1"/>
  <c r="G1353" i="1" l="1"/>
  <c r="H1353" i="1" s="1"/>
  <c r="I1352" i="1"/>
  <c r="G1354" i="1" l="1"/>
  <c r="H1354" i="1" s="1"/>
  <c r="I1353" i="1"/>
  <c r="G1355" i="1" l="1"/>
  <c r="H1355" i="1" s="1"/>
  <c r="I1354" i="1"/>
  <c r="G1356" i="1" l="1"/>
  <c r="I1355" i="1"/>
  <c r="H1356" i="1"/>
  <c r="G1357" i="1" l="1"/>
  <c r="I1356" i="1"/>
  <c r="H1357" i="1"/>
  <c r="G1358" i="1" l="1"/>
  <c r="H1358" i="1" s="1"/>
  <c r="I1357" i="1"/>
  <c r="G1359" i="1" l="1"/>
  <c r="H1359" i="1" s="1"/>
  <c r="I1358" i="1"/>
  <c r="G1360" i="1" l="1"/>
  <c r="H1360" i="1" s="1"/>
  <c r="I1359" i="1"/>
  <c r="G1361" i="1" l="1"/>
  <c r="H1361" i="1" s="1"/>
  <c r="I1360" i="1"/>
  <c r="G1362" i="1" l="1"/>
  <c r="H1362" i="1" s="1"/>
  <c r="I1361" i="1"/>
  <c r="G1363" i="1" l="1"/>
  <c r="H1363" i="1" s="1"/>
  <c r="I1362" i="1"/>
  <c r="G1364" i="1" l="1"/>
  <c r="H1364" i="1" s="1"/>
  <c r="I1364" i="1" s="1"/>
  <c r="I1363" i="1"/>
  <c r="G1365" i="1" l="1"/>
  <c r="H1365" i="1" s="1"/>
  <c r="G1366" i="1" l="1"/>
  <c r="H1366" i="1" s="1"/>
  <c r="I1365" i="1"/>
  <c r="G1367" i="1" l="1"/>
  <c r="H1367" i="1" s="1"/>
  <c r="I1366" i="1"/>
  <c r="G1368" i="1" l="1"/>
  <c r="H1368" i="1" s="1"/>
  <c r="I1367" i="1"/>
  <c r="G1369" i="1" l="1"/>
  <c r="H1369" i="1" s="1"/>
  <c r="I1368" i="1"/>
  <c r="G1370" i="1" l="1"/>
  <c r="H1370" i="1" s="1"/>
  <c r="I1369" i="1"/>
  <c r="G1371" i="1" l="1"/>
  <c r="H1371" i="1" s="1"/>
  <c r="I1370" i="1"/>
  <c r="G1372" i="1" l="1"/>
  <c r="H1372" i="1" s="1"/>
  <c r="I1371" i="1"/>
  <c r="G1373" i="1" l="1"/>
  <c r="H1373" i="1" s="1"/>
  <c r="I1372" i="1"/>
  <c r="G1374" i="1" l="1"/>
  <c r="H1374" i="1" s="1"/>
  <c r="I1373" i="1"/>
  <c r="G1375" i="1" l="1"/>
  <c r="H1375" i="1" s="1"/>
  <c r="I1374" i="1"/>
  <c r="G1376" i="1" l="1"/>
  <c r="H1376" i="1" s="1"/>
  <c r="I1375" i="1"/>
  <c r="G1377" i="1" l="1"/>
  <c r="H1377" i="1" s="1"/>
  <c r="I1377" i="1" s="1"/>
  <c r="I1376" i="1"/>
  <c r="G1378" i="1" l="1"/>
  <c r="H1378" i="1" s="1"/>
  <c r="G1379" i="1" l="1"/>
  <c r="H1379" i="1" s="1"/>
  <c r="I1378" i="1"/>
  <c r="G1380" i="1" l="1"/>
  <c r="H1380" i="1" s="1"/>
  <c r="I1379" i="1"/>
  <c r="G1381" i="1" l="1"/>
  <c r="H1381" i="1" s="1"/>
  <c r="I1380" i="1"/>
  <c r="G1382" i="1" l="1"/>
  <c r="H1382" i="1" s="1"/>
  <c r="I1381" i="1"/>
  <c r="G1383" i="1" l="1"/>
  <c r="H1383" i="1" s="1"/>
  <c r="I1382" i="1"/>
  <c r="G1384" i="1" l="1"/>
  <c r="H1384" i="1" s="1"/>
  <c r="I1383" i="1"/>
  <c r="G1385" i="1" l="1"/>
  <c r="H1385" i="1" s="1"/>
  <c r="I1384" i="1"/>
  <c r="G1386" i="1" l="1"/>
  <c r="H1386" i="1" s="1"/>
  <c r="I1385" i="1"/>
  <c r="G1387" i="1" l="1"/>
  <c r="H1387" i="1" s="1"/>
  <c r="I1386" i="1"/>
  <c r="G1388" i="1" l="1"/>
  <c r="H1388" i="1" s="1"/>
  <c r="I1387" i="1"/>
  <c r="G1389" i="1" l="1"/>
  <c r="H1389" i="1" s="1"/>
  <c r="I1388" i="1"/>
  <c r="G1390" i="1" l="1"/>
  <c r="H1390" i="1" s="1"/>
  <c r="I1389" i="1"/>
  <c r="G1391" i="1" l="1"/>
  <c r="H1391" i="1" s="1"/>
  <c r="I1390" i="1"/>
  <c r="G1392" i="1" l="1"/>
  <c r="H1392" i="1" s="1"/>
  <c r="I1391" i="1"/>
  <c r="G1393" i="1" l="1"/>
  <c r="H1393" i="1" s="1"/>
  <c r="I1392" i="1"/>
  <c r="G1394" i="1" l="1"/>
  <c r="H1394" i="1" s="1"/>
  <c r="I1393" i="1"/>
  <c r="G1395" i="1" l="1"/>
  <c r="H1395" i="1" s="1"/>
  <c r="I1394" i="1"/>
  <c r="G1396" i="1" l="1"/>
  <c r="H1396" i="1" s="1"/>
  <c r="I1395" i="1"/>
  <c r="G1397" i="1" l="1"/>
  <c r="H1397" i="1" s="1"/>
  <c r="I1396" i="1"/>
  <c r="G1398" i="1" l="1"/>
  <c r="H1398" i="1" s="1"/>
  <c r="I1397" i="1"/>
  <c r="G1399" i="1" l="1"/>
  <c r="H1399" i="1" s="1"/>
  <c r="I1398" i="1"/>
  <c r="G1400" i="1" l="1"/>
  <c r="H1400" i="1" s="1"/>
  <c r="I1399" i="1"/>
  <c r="G1401" i="1" l="1"/>
  <c r="H1401" i="1" s="1"/>
  <c r="I1400" i="1"/>
  <c r="G1402" i="1" l="1"/>
  <c r="H1402" i="1" s="1"/>
  <c r="I1401" i="1"/>
  <c r="G1403" i="1" l="1"/>
  <c r="H1403" i="1" s="1"/>
  <c r="I1402" i="1"/>
  <c r="G1404" i="1" l="1"/>
  <c r="H1404" i="1" s="1"/>
  <c r="I1403" i="1"/>
  <c r="G1405" i="1" l="1"/>
  <c r="H1405" i="1" s="1"/>
  <c r="I1404" i="1"/>
  <c r="G1406" i="1" l="1"/>
  <c r="H1406" i="1" s="1"/>
  <c r="I1405" i="1"/>
  <c r="G1407" i="1" l="1"/>
  <c r="H1407" i="1" s="1"/>
  <c r="I1406" i="1"/>
  <c r="G1408" i="1" l="1"/>
  <c r="H1408" i="1" s="1"/>
  <c r="I1407" i="1"/>
  <c r="G1409" i="1" l="1"/>
  <c r="H1409" i="1" s="1"/>
  <c r="I1408" i="1"/>
  <c r="G1410" i="1" l="1"/>
  <c r="H1410" i="1" s="1"/>
  <c r="I1409" i="1"/>
  <c r="G1411" i="1" l="1"/>
  <c r="H1411" i="1" s="1"/>
  <c r="I1410" i="1"/>
  <c r="G1412" i="1" l="1"/>
  <c r="H1412" i="1" s="1"/>
  <c r="I1411" i="1"/>
  <c r="G1413" i="1" l="1"/>
  <c r="H1413" i="1" s="1"/>
  <c r="I1412" i="1"/>
  <c r="G1414" i="1" l="1"/>
  <c r="H1414" i="1" s="1"/>
  <c r="I1413" i="1"/>
  <c r="G1415" i="1" l="1"/>
  <c r="H1415" i="1" s="1"/>
  <c r="I1414" i="1"/>
  <c r="G1416" i="1" l="1"/>
  <c r="H1416" i="1" s="1"/>
  <c r="I1415" i="1"/>
  <c r="G1417" i="1" l="1"/>
  <c r="H1417" i="1" s="1"/>
  <c r="I1416" i="1"/>
  <c r="G1418" i="1" l="1"/>
  <c r="H1418" i="1" s="1"/>
  <c r="I1417" i="1"/>
  <c r="G1419" i="1" l="1"/>
  <c r="H1419" i="1" s="1"/>
  <c r="I1418" i="1"/>
  <c r="G1420" i="1" l="1"/>
  <c r="H1420" i="1" s="1"/>
  <c r="I1419" i="1"/>
  <c r="G1421" i="1" l="1"/>
  <c r="H1421" i="1" s="1"/>
  <c r="I1420" i="1"/>
  <c r="G1422" i="1" l="1"/>
  <c r="H1422" i="1" s="1"/>
  <c r="I1421" i="1"/>
  <c r="G1423" i="1" l="1"/>
  <c r="H1423" i="1" s="1"/>
  <c r="I1422" i="1"/>
  <c r="G1424" i="1" l="1"/>
  <c r="H1424" i="1" s="1"/>
  <c r="I1423" i="1"/>
  <c r="G1425" i="1" l="1"/>
  <c r="H1425" i="1" s="1"/>
  <c r="I1424" i="1"/>
  <c r="G1426" i="1" l="1"/>
  <c r="H1426" i="1" s="1"/>
  <c r="I1425" i="1"/>
  <c r="G1427" i="1" l="1"/>
  <c r="H1427" i="1" s="1"/>
  <c r="I1426" i="1"/>
  <c r="G1428" i="1" l="1"/>
  <c r="H1428" i="1" s="1"/>
  <c r="I1427" i="1"/>
  <c r="G1429" i="1" l="1"/>
  <c r="H1429" i="1" s="1"/>
  <c r="I1428" i="1"/>
  <c r="G1430" i="1" l="1"/>
  <c r="H1430" i="1" s="1"/>
  <c r="I1429" i="1"/>
  <c r="G1431" i="1" l="1"/>
  <c r="H1431" i="1" s="1"/>
  <c r="I1430" i="1"/>
  <c r="G1432" i="1" l="1"/>
  <c r="H1432" i="1" s="1"/>
  <c r="I1431" i="1"/>
  <c r="G1433" i="1" l="1"/>
  <c r="H1433" i="1" s="1"/>
  <c r="I1432" i="1"/>
  <c r="G1434" i="1" l="1"/>
  <c r="H1434" i="1" s="1"/>
  <c r="I1433" i="1"/>
  <c r="G1435" i="1" l="1"/>
  <c r="H1435" i="1" s="1"/>
  <c r="I1434" i="1"/>
  <c r="G1436" i="1" l="1"/>
  <c r="H1436" i="1" s="1"/>
  <c r="I1435" i="1"/>
  <c r="G1437" i="1" l="1"/>
  <c r="H1437" i="1" s="1"/>
  <c r="I1436" i="1"/>
  <c r="G1438" i="1" l="1"/>
  <c r="H1438" i="1" s="1"/>
  <c r="I1437" i="1"/>
  <c r="G1439" i="1" l="1"/>
  <c r="H1439" i="1" s="1"/>
  <c r="I1438" i="1"/>
  <c r="G1440" i="1" l="1"/>
  <c r="H1440" i="1" s="1"/>
  <c r="I1439" i="1"/>
  <c r="G1441" i="1" l="1"/>
  <c r="H1441" i="1" s="1"/>
  <c r="I1440" i="1"/>
  <c r="G1442" i="1" l="1"/>
  <c r="H1442" i="1" s="1"/>
  <c r="I1441" i="1"/>
  <c r="G1443" i="1" l="1"/>
  <c r="H1443" i="1" s="1"/>
  <c r="I1442" i="1"/>
  <c r="G1444" i="1" l="1"/>
  <c r="H1444" i="1" s="1"/>
  <c r="I1443" i="1"/>
  <c r="G1445" i="1" l="1"/>
  <c r="H1445" i="1" s="1"/>
  <c r="I1444" i="1"/>
  <c r="G1446" i="1" l="1"/>
  <c r="H1446" i="1" s="1"/>
  <c r="I1445" i="1"/>
  <c r="G1447" i="1" l="1"/>
  <c r="H1447" i="1" s="1"/>
  <c r="I1446" i="1"/>
  <c r="G1448" i="1" l="1"/>
  <c r="H1448" i="1" s="1"/>
  <c r="I1447" i="1"/>
  <c r="G1449" i="1" l="1"/>
  <c r="H1449" i="1" s="1"/>
  <c r="I1448" i="1"/>
  <c r="G1450" i="1" l="1"/>
  <c r="H1450" i="1" s="1"/>
  <c r="I1449" i="1"/>
  <c r="G1451" i="1" l="1"/>
  <c r="H1451" i="1" s="1"/>
  <c r="I1450" i="1"/>
  <c r="G1452" i="1" l="1"/>
  <c r="H1452" i="1" s="1"/>
  <c r="I1451" i="1"/>
  <c r="G1453" i="1" l="1"/>
  <c r="H1453" i="1" s="1"/>
  <c r="I1452" i="1"/>
  <c r="G1454" i="1" l="1"/>
  <c r="H1454" i="1" s="1"/>
  <c r="I1453" i="1"/>
  <c r="G1455" i="1" l="1"/>
  <c r="H1455" i="1" s="1"/>
  <c r="I1454" i="1"/>
  <c r="G1456" i="1" l="1"/>
  <c r="H1456" i="1" s="1"/>
  <c r="I1455" i="1"/>
  <c r="G1457" i="1" l="1"/>
  <c r="H1457" i="1" s="1"/>
  <c r="I1456" i="1"/>
  <c r="G1458" i="1" l="1"/>
  <c r="H1458" i="1" s="1"/>
  <c r="I1457" i="1"/>
  <c r="G1459" i="1" l="1"/>
  <c r="H1459" i="1" s="1"/>
  <c r="I1458" i="1"/>
  <c r="G1460" i="1" l="1"/>
  <c r="H1460" i="1" s="1"/>
  <c r="I1459" i="1"/>
  <c r="G1461" i="1" l="1"/>
  <c r="H1461" i="1" s="1"/>
  <c r="I1460" i="1"/>
  <c r="G1462" i="1" l="1"/>
  <c r="H1462" i="1" s="1"/>
  <c r="I1461" i="1"/>
  <c r="G1463" i="1" l="1"/>
  <c r="H1463" i="1" s="1"/>
  <c r="I1462" i="1"/>
  <c r="G1464" i="1" l="1"/>
  <c r="H1464" i="1" s="1"/>
  <c r="I1463" i="1"/>
  <c r="G1465" i="1" l="1"/>
  <c r="H1465" i="1" s="1"/>
  <c r="I1464" i="1"/>
  <c r="G1466" i="1" l="1"/>
  <c r="H1466" i="1" s="1"/>
  <c r="I1465" i="1"/>
  <c r="G1467" i="1" l="1"/>
  <c r="H1467" i="1" s="1"/>
  <c r="I1467" i="1" s="1"/>
  <c r="I1466" i="1"/>
  <c r="G1468" i="1" l="1"/>
  <c r="H1468" i="1" s="1"/>
  <c r="G1469" i="1" l="1"/>
  <c r="H1469" i="1" s="1"/>
  <c r="I1468" i="1"/>
  <c r="G1470" i="1" l="1"/>
  <c r="H1470" i="1" s="1"/>
  <c r="I1469" i="1"/>
  <c r="G1471" i="1" l="1"/>
  <c r="H1471" i="1" s="1"/>
  <c r="I1470" i="1"/>
  <c r="G1472" i="1" l="1"/>
  <c r="H1472" i="1" s="1"/>
  <c r="I1471" i="1"/>
  <c r="G1473" i="1" l="1"/>
  <c r="H1473" i="1" s="1"/>
  <c r="I1472" i="1"/>
  <c r="G1474" i="1" l="1"/>
  <c r="H1474" i="1" s="1"/>
  <c r="I1473" i="1"/>
  <c r="G1475" i="1" l="1"/>
  <c r="H1475" i="1" s="1"/>
  <c r="I1474" i="1"/>
  <c r="G1476" i="1" l="1"/>
  <c r="H1476" i="1" s="1"/>
  <c r="I1475" i="1"/>
  <c r="G1477" i="1" l="1"/>
  <c r="H1477" i="1" s="1"/>
  <c r="I1476" i="1"/>
  <c r="G1478" i="1" l="1"/>
  <c r="H1478" i="1" s="1"/>
  <c r="I1478" i="1" s="1"/>
  <c r="I1477" i="1"/>
  <c r="G1479" i="1" l="1"/>
  <c r="H1479" i="1" s="1"/>
  <c r="I1479" i="1" s="1"/>
  <c r="G1480" i="1" l="1"/>
  <c r="H1480" i="1" s="1"/>
  <c r="G1481" i="1" l="1"/>
  <c r="H1481" i="1" s="1"/>
  <c r="I1480" i="1"/>
  <c r="G1482" i="1" l="1"/>
  <c r="H1482" i="1" s="1"/>
  <c r="I1481" i="1"/>
  <c r="G1483" i="1" l="1"/>
  <c r="H1483" i="1" s="1"/>
  <c r="I1482" i="1"/>
  <c r="G1484" i="1" l="1"/>
  <c r="H1484" i="1" s="1"/>
  <c r="I1483" i="1"/>
  <c r="G1485" i="1" l="1"/>
  <c r="H1485" i="1" s="1"/>
  <c r="I1484" i="1"/>
  <c r="G1486" i="1" l="1"/>
  <c r="H1486" i="1" s="1"/>
  <c r="I1485" i="1"/>
  <c r="G1487" i="1" l="1"/>
  <c r="H1487" i="1" s="1"/>
  <c r="I1486" i="1"/>
  <c r="G1488" i="1" l="1"/>
  <c r="H1488" i="1" s="1"/>
  <c r="I1487" i="1"/>
  <c r="G1489" i="1" l="1"/>
  <c r="H1489" i="1" s="1"/>
  <c r="I1488" i="1"/>
  <c r="G1490" i="1" l="1"/>
  <c r="H1490" i="1" s="1"/>
  <c r="I1489" i="1"/>
  <c r="G1491" i="1" l="1"/>
  <c r="H1491" i="1" s="1"/>
  <c r="I1490" i="1"/>
  <c r="G1492" i="1" l="1"/>
  <c r="H1492" i="1" s="1"/>
  <c r="I1491" i="1"/>
  <c r="G1493" i="1" l="1"/>
  <c r="H1493" i="1" s="1"/>
  <c r="I1492" i="1"/>
  <c r="G1494" i="1" l="1"/>
  <c r="H1494" i="1" s="1"/>
  <c r="I1493" i="1"/>
  <c r="G1495" i="1" l="1"/>
  <c r="H1495" i="1" s="1"/>
  <c r="I1494" i="1"/>
  <c r="G1496" i="1" l="1"/>
  <c r="H1496" i="1" s="1"/>
  <c r="I1495" i="1"/>
  <c r="G1497" i="1" l="1"/>
  <c r="H1497" i="1" s="1"/>
  <c r="I1496" i="1"/>
  <c r="G1498" i="1" l="1"/>
  <c r="H1498" i="1" s="1"/>
  <c r="I1497" i="1"/>
  <c r="G1499" i="1" l="1"/>
  <c r="H1499" i="1" s="1"/>
  <c r="I1498" i="1"/>
  <c r="G1500" i="1" l="1"/>
  <c r="H1500" i="1" s="1"/>
  <c r="I1499" i="1"/>
  <c r="G1501" i="1" l="1"/>
  <c r="H1501" i="1" s="1"/>
  <c r="I1500" i="1"/>
  <c r="G1502" i="1" l="1"/>
  <c r="H1502" i="1" s="1"/>
  <c r="I1501" i="1"/>
  <c r="G1503" i="1" l="1"/>
  <c r="H1503" i="1" s="1"/>
  <c r="I1502" i="1"/>
  <c r="G1504" i="1" l="1"/>
  <c r="H1504" i="1" s="1"/>
  <c r="I1503" i="1"/>
  <c r="G1505" i="1" l="1"/>
  <c r="H1505" i="1" s="1"/>
  <c r="I1504" i="1"/>
  <c r="G1506" i="1" l="1"/>
  <c r="H1506" i="1" s="1"/>
  <c r="I1505" i="1"/>
  <c r="G1507" i="1" l="1"/>
  <c r="H1507" i="1" s="1"/>
  <c r="I1506" i="1"/>
  <c r="G1508" i="1" l="1"/>
  <c r="H1508" i="1" s="1"/>
  <c r="I1507" i="1"/>
  <c r="G1509" i="1" l="1"/>
  <c r="H1509" i="1" s="1"/>
  <c r="I1508" i="1"/>
  <c r="G1510" i="1" l="1"/>
  <c r="H1510" i="1" s="1"/>
  <c r="I1509" i="1"/>
  <c r="G1511" i="1" l="1"/>
  <c r="H1511" i="1" s="1"/>
  <c r="I1510" i="1"/>
  <c r="G1512" i="1" l="1"/>
  <c r="H1512" i="1" s="1"/>
  <c r="I1511" i="1"/>
  <c r="G1513" i="1" l="1"/>
  <c r="H1513" i="1" s="1"/>
  <c r="I1512" i="1"/>
  <c r="G1514" i="1" l="1"/>
  <c r="H1514" i="1" s="1"/>
  <c r="I1513" i="1"/>
  <c r="G1515" i="1" l="1"/>
  <c r="H1515" i="1" s="1"/>
  <c r="I1514" i="1"/>
  <c r="G1516" i="1" l="1"/>
  <c r="H1516" i="1" s="1"/>
  <c r="I1515" i="1"/>
  <c r="G1517" i="1" l="1"/>
  <c r="H1517" i="1" s="1"/>
  <c r="I1516" i="1"/>
  <c r="G1518" i="1" l="1"/>
  <c r="H1518" i="1" s="1"/>
  <c r="I1517" i="1"/>
  <c r="G1519" i="1" l="1"/>
  <c r="H1519" i="1" s="1"/>
  <c r="I1518" i="1"/>
  <c r="G1520" i="1" l="1"/>
  <c r="H1520" i="1" s="1"/>
  <c r="I1519" i="1"/>
  <c r="G1521" i="1" l="1"/>
  <c r="H1521" i="1" s="1"/>
  <c r="I1520" i="1"/>
  <c r="G1522" i="1" l="1"/>
  <c r="H1522" i="1" s="1"/>
  <c r="I1521" i="1"/>
  <c r="G1523" i="1" l="1"/>
  <c r="H1523" i="1" s="1"/>
  <c r="I1522" i="1"/>
  <c r="G1524" i="1" l="1"/>
  <c r="H1524" i="1" s="1"/>
  <c r="I1523" i="1"/>
  <c r="G1525" i="1" l="1"/>
  <c r="H1525" i="1" s="1"/>
  <c r="I1524" i="1"/>
  <c r="G1526" i="1" l="1"/>
  <c r="H1526" i="1" s="1"/>
  <c r="I1525" i="1"/>
  <c r="G1527" i="1" l="1"/>
  <c r="H1527" i="1" s="1"/>
  <c r="I1526" i="1"/>
  <c r="G1528" i="1" l="1"/>
  <c r="H1528" i="1" s="1"/>
  <c r="I1527" i="1"/>
  <c r="G1529" i="1" l="1"/>
  <c r="H1529" i="1" s="1"/>
  <c r="I1528" i="1"/>
  <c r="G1530" i="1" l="1"/>
  <c r="H1530" i="1" s="1"/>
  <c r="I1529" i="1"/>
  <c r="G1531" i="1" l="1"/>
  <c r="H1531" i="1" s="1"/>
  <c r="I1530" i="1"/>
  <c r="G1532" i="1" l="1"/>
  <c r="H1532" i="1" s="1"/>
  <c r="I1531" i="1"/>
  <c r="G1533" i="1" l="1"/>
  <c r="H1533" i="1" s="1"/>
  <c r="I1532" i="1"/>
  <c r="G1534" i="1" l="1"/>
  <c r="H1534" i="1" s="1"/>
  <c r="I1533" i="1"/>
  <c r="G1535" i="1" l="1"/>
  <c r="H1535" i="1" s="1"/>
  <c r="I1534" i="1"/>
  <c r="G1536" i="1" l="1"/>
  <c r="H1536" i="1" s="1"/>
  <c r="I1535" i="1"/>
  <c r="G1537" i="1" l="1"/>
  <c r="H1537" i="1" s="1"/>
  <c r="I1536" i="1"/>
  <c r="G1538" i="1" l="1"/>
  <c r="H1538" i="1" s="1"/>
  <c r="I1537" i="1"/>
  <c r="G1539" i="1" l="1"/>
  <c r="H1539" i="1" s="1"/>
  <c r="I1538" i="1"/>
  <c r="G1540" i="1" l="1"/>
  <c r="H1540" i="1" s="1"/>
  <c r="I1539" i="1"/>
  <c r="G1541" i="1" l="1"/>
  <c r="H1541" i="1" s="1"/>
  <c r="I1540" i="1"/>
  <c r="G1542" i="1" l="1"/>
  <c r="I1541" i="1"/>
  <c r="H1542" i="1"/>
  <c r="G1543" i="1" l="1"/>
  <c r="H1543" i="1" s="1"/>
  <c r="I1542" i="1"/>
  <c r="G1544" i="1" l="1"/>
  <c r="H1544" i="1" s="1"/>
  <c r="I1543" i="1"/>
  <c r="G1545" i="1" l="1"/>
  <c r="H1545" i="1" s="1"/>
  <c r="I1544" i="1"/>
  <c r="G1546" i="1" l="1"/>
  <c r="H1546" i="1" s="1"/>
  <c r="I1545" i="1"/>
  <c r="G1547" i="1" l="1"/>
  <c r="H1547" i="1" s="1"/>
  <c r="I1546" i="1"/>
  <c r="G1548" i="1" l="1"/>
  <c r="H1548" i="1" s="1"/>
  <c r="I1547" i="1"/>
  <c r="G1549" i="1" l="1"/>
  <c r="H1549" i="1" s="1"/>
  <c r="I1548" i="1"/>
  <c r="G1550" i="1" l="1"/>
  <c r="H1550" i="1" s="1"/>
  <c r="I1549" i="1"/>
  <c r="G1551" i="1" l="1"/>
  <c r="H1551" i="1" s="1"/>
  <c r="I1550" i="1"/>
  <c r="G1552" i="1" l="1"/>
  <c r="H1552" i="1" s="1"/>
  <c r="I1551" i="1"/>
  <c r="G1553" i="1" l="1"/>
  <c r="H1553" i="1" s="1"/>
  <c r="I1552" i="1"/>
  <c r="G1554" i="1" l="1"/>
  <c r="H1554" i="1" s="1"/>
  <c r="I1553" i="1"/>
  <c r="G1555" i="1" l="1"/>
  <c r="H1555" i="1" s="1"/>
  <c r="I1554" i="1"/>
  <c r="G1556" i="1" l="1"/>
  <c r="H1556" i="1" s="1"/>
  <c r="I1555" i="1"/>
  <c r="G1557" i="1" l="1"/>
  <c r="H1557" i="1" s="1"/>
  <c r="I1556" i="1"/>
  <c r="G1558" i="1" l="1"/>
  <c r="H1558" i="1" s="1"/>
  <c r="I1557" i="1"/>
  <c r="G1559" i="1" l="1"/>
  <c r="H1559" i="1" s="1"/>
  <c r="I1558" i="1"/>
  <c r="G1560" i="1" l="1"/>
  <c r="H1560" i="1" s="1"/>
  <c r="I1559" i="1"/>
  <c r="G1561" i="1" l="1"/>
  <c r="H1561" i="1" s="1"/>
  <c r="I1560" i="1"/>
  <c r="G1562" i="1" l="1"/>
  <c r="H1562" i="1" s="1"/>
  <c r="I1561" i="1"/>
  <c r="G1563" i="1" l="1"/>
  <c r="H1563" i="1" s="1"/>
  <c r="I1562" i="1"/>
  <c r="G1564" i="1" l="1"/>
  <c r="H1564" i="1" s="1"/>
  <c r="I1564" i="1" s="1"/>
  <c r="I1563" i="1"/>
  <c r="G1565" i="1" l="1"/>
  <c r="H1565" i="1" s="1"/>
  <c r="I1565" i="1" s="1"/>
  <c r="G1566" i="1" l="1"/>
  <c r="H1566" i="1" s="1"/>
  <c r="G1567" i="1" l="1"/>
  <c r="H1567" i="1" s="1"/>
  <c r="I1566" i="1"/>
  <c r="G1568" i="1" l="1"/>
  <c r="H1568" i="1" s="1"/>
  <c r="I1567" i="1"/>
  <c r="G1569" i="1" l="1"/>
  <c r="H1569" i="1" s="1"/>
  <c r="I1568" i="1"/>
  <c r="G1570" i="1" l="1"/>
  <c r="H1570" i="1" s="1"/>
  <c r="I1569" i="1"/>
  <c r="G1571" i="1" l="1"/>
  <c r="H1571" i="1" s="1"/>
  <c r="I1570" i="1"/>
  <c r="G1572" i="1" l="1"/>
  <c r="H1572" i="1" s="1"/>
  <c r="I1571" i="1"/>
  <c r="G1573" i="1" l="1"/>
  <c r="H1573" i="1" s="1"/>
  <c r="I1572" i="1"/>
  <c r="G1574" i="1" l="1"/>
  <c r="H1574" i="1" s="1"/>
  <c r="I1573" i="1"/>
  <c r="G1575" i="1" l="1"/>
  <c r="H1575" i="1" s="1"/>
  <c r="I1574" i="1"/>
  <c r="G1576" i="1" l="1"/>
  <c r="H1576" i="1" s="1"/>
  <c r="I1575" i="1"/>
  <c r="G1577" i="1" l="1"/>
  <c r="H1577" i="1" s="1"/>
  <c r="I1577" i="1" s="1"/>
  <c r="I1576" i="1"/>
  <c r="G1578" i="1" l="1"/>
  <c r="H1578" i="1" s="1"/>
  <c r="G1579" i="1" l="1"/>
  <c r="H1579" i="1" s="1"/>
  <c r="I1578" i="1"/>
  <c r="G1580" i="1" l="1"/>
  <c r="H1580" i="1" s="1"/>
  <c r="I1579" i="1"/>
  <c r="G1581" i="1" l="1"/>
  <c r="H1581" i="1" s="1"/>
  <c r="I1581" i="1" s="1"/>
  <c r="I1580" i="1"/>
  <c r="G1582" i="1" l="1"/>
  <c r="H1582" i="1" s="1"/>
  <c r="G1583" i="1" l="1"/>
  <c r="H1583" i="1" s="1"/>
  <c r="I1582" i="1"/>
  <c r="G1584" i="1" l="1"/>
  <c r="H1584" i="1" s="1"/>
  <c r="I1583" i="1"/>
  <c r="G1585" i="1" l="1"/>
  <c r="H1585" i="1" s="1"/>
  <c r="I1584" i="1"/>
  <c r="G1586" i="1" l="1"/>
  <c r="H1586" i="1" s="1"/>
  <c r="I1585" i="1"/>
  <c r="G1587" i="1" l="1"/>
  <c r="H1587" i="1" s="1"/>
  <c r="I1586" i="1"/>
  <c r="G1588" i="1" l="1"/>
  <c r="H1588" i="1" s="1"/>
  <c r="I1587" i="1"/>
  <c r="G1589" i="1" l="1"/>
  <c r="H1589" i="1" s="1"/>
  <c r="I1588" i="1"/>
  <c r="G1590" i="1" l="1"/>
  <c r="I1589" i="1"/>
  <c r="H1590" i="1"/>
  <c r="G1591" i="1" l="1"/>
  <c r="H1591" i="1" s="1"/>
  <c r="I1590" i="1"/>
  <c r="G1592" i="1" l="1"/>
  <c r="H1592" i="1" s="1"/>
  <c r="I1591" i="1"/>
  <c r="G1593" i="1" l="1"/>
  <c r="H1593" i="1" s="1"/>
  <c r="I1592" i="1"/>
  <c r="G1594" i="1" l="1"/>
  <c r="H1594" i="1" s="1"/>
  <c r="I1593" i="1"/>
  <c r="G1595" i="1" l="1"/>
  <c r="H1595" i="1" s="1"/>
  <c r="I1594" i="1"/>
  <c r="G1596" i="1" l="1"/>
  <c r="H1596" i="1" s="1"/>
  <c r="I1595" i="1"/>
  <c r="G1597" i="1" l="1"/>
  <c r="H1597" i="1" s="1"/>
  <c r="I1596" i="1"/>
  <c r="G1598" i="1" l="1"/>
  <c r="H1598" i="1" s="1"/>
  <c r="I1597" i="1"/>
  <c r="G1599" i="1" l="1"/>
  <c r="H1599" i="1" s="1"/>
  <c r="I1598" i="1"/>
  <c r="G1600" i="1" l="1"/>
  <c r="H1600" i="1" s="1"/>
  <c r="I1599" i="1"/>
  <c r="G1601" i="1" l="1"/>
  <c r="H1601" i="1" s="1"/>
  <c r="I1600" i="1"/>
  <c r="G1602" i="1" l="1"/>
  <c r="H1602" i="1" s="1"/>
  <c r="I1601" i="1"/>
  <c r="G1603" i="1" l="1"/>
  <c r="I1602" i="1"/>
  <c r="H1603" i="1"/>
  <c r="G1604" i="1" l="1"/>
  <c r="H1604" i="1" s="1"/>
  <c r="I1603" i="1"/>
  <c r="G1605" i="1" l="1"/>
  <c r="H1605" i="1" s="1"/>
  <c r="I1604" i="1"/>
  <c r="G1606" i="1" l="1"/>
  <c r="H1606" i="1" s="1"/>
  <c r="I1605" i="1"/>
  <c r="G1607" i="1" l="1"/>
  <c r="H1607" i="1" s="1"/>
  <c r="I1606" i="1"/>
  <c r="G1608" i="1" l="1"/>
  <c r="H1608" i="1" s="1"/>
  <c r="I1607" i="1"/>
  <c r="G1609" i="1" l="1"/>
  <c r="H1609" i="1" s="1"/>
  <c r="I1608" i="1"/>
  <c r="G1610" i="1" l="1"/>
  <c r="H1610" i="1" s="1"/>
  <c r="I1609" i="1"/>
  <c r="G1611" i="1" l="1"/>
  <c r="H1611" i="1" s="1"/>
  <c r="I1610" i="1"/>
  <c r="G1612" i="1" l="1"/>
  <c r="H1612" i="1" s="1"/>
  <c r="I1611" i="1"/>
  <c r="G1613" i="1" l="1"/>
  <c r="H1613" i="1" s="1"/>
  <c r="I1612" i="1"/>
  <c r="G1614" i="1" l="1"/>
  <c r="H1614" i="1" s="1"/>
  <c r="I1613" i="1"/>
  <c r="G1615" i="1" l="1"/>
  <c r="H1615" i="1" s="1"/>
  <c r="I1614" i="1"/>
  <c r="G1616" i="1" l="1"/>
  <c r="H1616" i="1" s="1"/>
  <c r="I1615" i="1"/>
  <c r="G1617" i="1" l="1"/>
  <c r="H1617" i="1" s="1"/>
  <c r="I1616" i="1"/>
  <c r="G1618" i="1" l="1"/>
  <c r="H1618" i="1" s="1"/>
  <c r="I1617" i="1"/>
  <c r="G1619" i="1" l="1"/>
  <c r="H1619" i="1" s="1"/>
  <c r="I1618" i="1"/>
  <c r="G1620" i="1" l="1"/>
  <c r="H1620" i="1" s="1"/>
  <c r="I1619" i="1"/>
  <c r="G1621" i="1" l="1"/>
  <c r="H1621" i="1" s="1"/>
  <c r="I1620" i="1"/>
  <c r="G1622" i="1" l="1"/>
  <c r="H1622" i="1" s="1"/>
  <c r="I1621" i="1"/>
  <c r="G1623" i="1" l="1"/>
  <c r="H1623" i="1" s="1"/>
  <c r="I1622" i="1"/>
  <c r="G1624" i="1" l="1"/>
  <c r="H1624" i="1" s="1"/>
  <c r="I1623" i="1"/>
  <c r="G1625" i="1" l="1"/>
  <c r="H1625" i="1" s="1"/>
  <c r="I1624" i="1"/>
  <c r="G1626" i="1" l="1"/>
  <c r="H1626" i="1" s="1"/>
  <c r="I1625" i="1"/>
  <c r="G1627" i="1" l="1"/>
  <c r="H1627" i="1" s="1"/>
  <c r="I1626" i="1"/>
  <c r="G1628" i="1" l="1"/>
  <c r="H1628" i="1" s="1"/>
  <c r="I1627" i="1"/>
  <c r="G1629" i="1" l="1"/>
  <c r="H1629" i="1" s="1"/>
  <c r="I1628" i="1"/>
  <c r="G1630" i="1" l="1"/>
  <c r="H1630" i="1" s="1"/>
  <c r="I1629" i="1"/>
  <c r="G1631" i="1" l="1"/>
  <c r="H1631" i="1" s="1"/>
  <c r="I1630" i="1"/>
  <c r="G1632" i="1" l="1"/>
  <c r="H1632" i="1" s="1"/>
  <c r="I1631" i="1"/>
  <c r="G1633" i="1" l="1"/>
  <c r="H1633" i="1" s="1"/>
  <c r="I1632" i="1"/>
  <c r="G1634" i="1" l="1"/>
  <c r="H1634" i="1" s="1"/>
  <c r="I1633" i="1"/>
  <c r="G1635" i="1" l="1"/>
  <c r="H1635" i="1" s="1"/>
  <c r="I1634" i="1"/>
  <c r="G1636" i="1" l="1"/>
  <c r="H1636" i="1" s="1"/>
  <c r="I1635" i="1"/>
  <c r="G1637" i="1" l="1"/>
  <c r="H1637" i="1" s="1"/>
  <c r="I1636" i="1"/>
  <c r="G1638" i="1" l="1"/>
  <c r="H1638" i="1" s="1"/>
  <c r="I1637" i="1"/>
  <c r="G1639" i="1" l="1"/>
  <c r="H1639" i="1" s="1"/>
  <c r="I1638" i="1"/>
  <c r="G1640" i="1" l="1"/>
  <c r="H1640" i="1" s="1"/>
  <c r="I1639" i="1"/>
  <c r="G1641" i="1" l="1"/>
  <c r="H1641" i="1" s="1"/>
  <c r="I1640" i="1"/>
  <c r="G1642" i="1" l="1"/>
  <c r="H1642" i="1" s="1"/>
  <c r="I1641" i="1"/>
  <c r="G1643" i="1" l="1"/>
  <c r="H1643" i="1" s="1"/>
  <c r="I1642" i="1"/>
  <c r="G1644" i="1" l="1"/>
  <c r="H1644" i="1" s="1"/>
  <c r="I1643" i="1"/>
  <c r="G1645" i="1" l="1"/>
  <c r="H1645" i="1" s="1"/>
  <c r="I1644" i="1"/>
  <c r="G1646" i="1" l="1"/>
  <c r="H1646" i="1" s="1"/>
  <c r="I1645" i="1"/>
  <c r="G1647" i="1" l="1"/>
  <c r="H1647" i="1" s="1"/>
  <c r="I1646" i="1"/>
  <c r="G1648" i="1" l="1"/>
  <c r="H1648" i="1" s="1"/>
  <c r="I1647" i="1"/>
  <c r="G1649" i="1" l="1"/>
  <c r="H1649" i="1" s="1"/>
  <c r="I1648" i="1"/>
  <c r="G1650" i="1" l="1"/>
  <c r="H1650" i="1" s="1"/>
  <c r="I1649" i="1"/>
  <c r="G1651" i="1" l="1"/>
  <c r="H1651" i="1" s="1"/>
  <c r="I1650" i="1"/>
  <c r="G1652" i="1" l="1"/>
  <c r="H1652" i="1" s="1"/>
  <c r="I1651" i="1"/>
  <c r="G1653" i="1" l="1"/>
  <c r="H1653" i="1" s="1"/>
  <c r="I1652" i="1"/>
  <c r="G1654" i="1" l="1"/>
  <c r="H1654" i="1" s="1"/>
  <c r="I1653" i="1"/>
  <c r="G1655" i="1" l="1"/>
  <c r="H1655" i="1" s="1"/>
  <c r="I1654" i="1"/>
  <c r="G1656" i="1" l="1"/>
  <c r="H1656" i="1" s="1"/>
  <c r="I1655" i="1"/>
  <c r="G1657" i="1" l="1"/>
  <c r="H1657" i="1" s="1"/>
  <c r="I1656" i="1"/>
  <c r="G1658" i="1" l="1"/>
  <c r="H1658" i="1" s="1"/>
  <c r="I1657" i="1"/>
  <c r="G1659" i="1" l="1"/>
  <c r="H1659" i="1" s="1"/>
  <c r="I1658" i="1"/>
  <c r="G1660" i="1" l="1"/>
  <c r="H1660" i="1" s="1"/>
  <c r="I1659" i="1"/>
  <c r="G1661" i="1" l="1"/>
  <c r="H1661" i="1" s="1"/>
  <c r="I1660" i="1"/>
  <c r="G1662" i="1" l="1"/>
  <c r="H1662" i="1" s="1"/>
  <c r="I1662" i="1" s="1"/>
  <c r="I1661" i="1"/>
  <c r="G1663" i="1" l="1"/>
  <c r="H1663" i="1" s="1"/>
  <c r="G1664" i="1" l="1"/>
  <c r="H1664" i="1" s="1"/>
  <c r="I1663" i="1"/>
  <c r="G1665" i="1" l="1"/>
  <c r="H1665" i="1" s="1"/>
  <c r="I1664" i="1"/>
  <c r="G1666" i="1" l="1"/>
  <c r="H1666" i="1" s="1"/>
  <c r="I1665" i="1"/>
  <c r="G1667" i="1" l="1"/>
  <c r="H1667" i="1" s="1"/>
  <c r="I1666" i="1"/>
  <c r="G1668" i="1" l="1"/>
  <c r="H1668" i="1" s="1"/>
  <c r="I1667" i="1"/>
  <c r="G1669" i="1" l="1"/>
  <c r="H1669" i="1" s="1"/>
  <c r="I1669" i="1" s="1"/>
  <c r="I1668" i="1"/>
  <c r="G1670" i="1" l="1"/>
  <c r="H1670" i="1" s="1"/>
  <c r="G1671" i="1" l="1"/>
  <c r="H1671" i="1" s="1"/>
  <c r="I1670" i="1"/>
  <c r="G1672" i="1" l="1"/>
  <c r="H1672" i="1" s="1"/>
  <c r="I1671" i="1"/>
  <c r="G1673" i="1" l="1"/>
  <c r="H1673" i="1" s="1"/>
  <c r="I1672" i="1"/>
  <c r="G1674" i="1" l="1"/>
  <c r="H1674" i="1" s="1"/>
  <c r="I1673" i="1"/>
  <c r="G1675" i="1" l="1"/>
  <c r="H1675" i="1" s="1"/>
  <c r="I1674" i="1"/>
  <c r="G1676" i="1" l="1"/>
  <c r="H1676" i="1" s="1"/>
  <c r="I1675" i="1"/>
  <c r="G1677" i="1" l="1"/>
  <c r="H1677" i="1" s="1"/>
  <c r="I1676" i="1"/>
  <c r="G1678" i="1" l="1"/>
  <c r="H1678" i="1" s="1"/>
  <c r="I1677" i="1"/>
  <c r="G1679" i="1" l="1"/>
  <c r="H1679" i="1" s="1"/>
  <c r="I1678" i="1"/>
  <c r="G1680" i="1" l="1"/>
  <c r="H1680" i="1" s="1"/>
  <c r="I1679" i="1"/>
  <c r="G1681" i="1" l="1"/>
  <c r="H1681" i="1" s="1"/>
  <c r="I1680" i="1"/>
  <c r="G1682" i="1" l="1"/>
  <c r="H1682" i="1" s="1"/>
  <c r="I1681" i="1"/>
  <c r="G1683" i="1" l="1"/>
  <c r="H1683" i="1" s="1"/>
  <c r="I1682" i="1"/>
  <c r="G1684" i="1" l="1"/>
  <c r="H1684" i="1" s="1"/>
  <c r="I1683" i="1"/>
  <c r="G1685" i="1" l="1"/>
  <c r="H1685" i="1" s="1"/>
  <c r="I1684" i="1"/>
  <c r="G1686" i="1" l="1"/>
  <c r="H1686" i="1" s="1"/>
  <c r="I1685" i="1"/>
  <c r="G1687" i="1" l="1"/>
  <c r="H1687" i="1" s="1"/>
  <c r="I1686" i="1"/>
  <c r="G1688" i="1" l="1"/>
  <c r="H1688" i="1" s="1"/>
  <c r="I1687" i="1"/>
  <c r="G1689" i="1" l="1"/>
  <c r="H1689" i="1" s="1"/>
  <c r="I1688" i="1"/>
  <c r="G1690" i="1" l="1"/>
  <c r="H1690" i="1" s="1"/>
  <c r="I1689" i="1"/>
  <c r="G1691" i="1" l="1"/>
  <c r="H1691" i="1" s="1"/>
  <c r="I1690" i="1"/>
  <c r="G1692" i="1" l="1"/>
  <c r="H1692" i="1" s="1"/>
  <c r="I1692" i="1" s="1"/>
  <c r="I1691" i="1"/>
  <c r="G1693" i="1" l="1"/>
  <c r="H1693" i="1" s="1"/>
  <c r="G1694" i="1" l="1"/>
  <c r="H1694" i="1" s="1"/>
  <c r="I1693" i="1"/>
  <c r="G1695" i="1" l="1"/>
  <c r="H1695" i="1" s="1"/>
  <c r="I1694" i="1"/>
  <c r="G1696" i="1" l="1"/>
  <c r="H1696" i="1" s="1"/>
  <c r="I1695" i="1"/>
  <c r="G1697" i="1" l="1"/>
  <c r="H1697" i="1" s="1"/>
  <c r="I1696" i="1"/>
  <c r="G1698" i="1" l="1"/>
  <c r="H1698" i="1" s="1"/>
  <c r="I1697" i="1"/>
  <c r="G1699" i="1" l="1"/>
  <c r="H1699" i="1" s="1"/>
  <c r="I1698" i="1"/>
  <c r="G1700" i="1" l="1"/>
  <c r="H1700" i="1" s="1"/>
  <c r="I1699" i="1"/>
  <c r="G1701" i="1" l="1"/>
  <c r="H1701" i="1" s="1"/>
  <c r="I1700" i="1"/>
  <c r="G1702" i="1" l="1"/>
  <c r="H1702" i="1" s="1"/>
  <c r="I1701" i="1"/>
  <c r="G1703" i="1" l="1"/>
  <c r="H1703" i="1" s="1"/>
  <c r="I1702" i="1"/>
  <c r="G1704" i="1" l="1"/>
  <c r="H1704" i="1" s="1"/>
  <c r="I1703" i="1"/>
  <c r="G1705" i="1" l="1"/>
  <c r="H1705" i="1" s="1"/>
  <c r="I1704" i="1"/>
  <c r="G1706" i="1" l="1"/>
  <c r="H1706" i="1" s="1"/>
  <c r="I1705" i="1"/>
  <c r="G1707" i="1" l="1"/>
  <c r="H1707" i="1" s="1"/>
  <c r="I1706" i="1"/>
  <c r="G1708" i="1" l="1"/>
  <c r="H1708" i="1" s="1"/>
  <c r="I1707" i="1"/>
  <c r="G1709" i="1" l="1"/>
  <c r="H1709" i="1" s="1"/>
  <c r="I1708" i="1"/>
  <c r="G1710" i="1" l="1"/>
  <c r="H1710" i="1" s="1"/>
  <c r="I1709" i="1"/>
  <c r="G1711" i="1" l="1"/>
  <c r="H1711" i="1" s="1"/>
  <c r="I1710" i="1"/>
  <c r="G1712" i="1" l="1"/>
  <c r="H1712" i="1" s="1"/>
  <c r="I1711" i="1"/>
  <c r="G1713" i="1" l="1"/>
  <c r="H1713" i="1" s="1"/>
  <c r="I1712" i="1"/>
  <c r="G1714" i="1" l="1"/>
  <c r="H1714" i="1" s="1"/>
  <c r="I1713" i="1"/>
  <c r="G1715" i="1" l="1"/>
  <c r="H1715" i="1" s="1"/>
  <c r="I1714" i="1"/>
  <c r="G1716" i="1" l="1"/>
  <c r="H1716" i="1" s="1"/>
  <c r="I1715" i="1"/>
  <c r="G1717" i="1" l="1"/>
  <c r="H1717" i="1" s="1"/>
  <c r="I1716" i="1"/>
  <c r="G1718" i="1" l="1"/>
  <c r="H1718" i="1" s="1"/>
  <c r="I1717" i="1"/>
  <c r="G1719" i="1" l="1"/>
  <c r="H1719" i="1" s="1"/>
  <c r="I1718" i="1"/>
  <c r="G1720" i="1" l="1"/>
  <c r="H1720" i="1" s="1"/>
  <c r="I1719" i="1"/>
  <c r="G1721" i="1" l="1"/>
  <c r="H1721" i="1" s="1"/>
  <c r="I1720" i="1"/>
  <c r="G1722" i="1" l="1"/>
  <c r="H1722" i="1" s="1"/>
  <c r="I1721" i="1"/>
  <c r="G1723" i="1" l="1"/>
  <c r="H1723" i="1" s="1"/>
  <c r="I1722" i="1"/>
  <c r="G1724" i="1" l="1"/>
  <c r="H1724" i="1" s="1"/>
  <c r="I1723" i="1"/>
  <c r="G1725" i="1" l="1"/>
  <c r="H1725" i="1" s="1"/>
  <c r="I1724" i="1"/>
  <c r="G1726" i="1" l="1"/>
  <c r="H1726" i="1" s="1"/>
  <c r="I1725" i="1"/>
  <c r="G1727" i="1" l="1"/>
  <c r="H1727" i="1" s="1"/>
  <c r="I1726" i="1"/>
  <c r="G1728" i="1" l="1"/>
  <c r="H1728" i="1" s="1"/>
  <c r="I1727" i="1"/>
  <c r="G1729" i="1" l="1"/>
  <c r="H1729" i="1" s="1"/>
  <c r="I1728" i="1"/>
  <c r="G1730" i="1" l="1"/>
  <c r="H1730" i="1" s="1"/>
  <c r="I1729" i="1"/>
  <c r="G1731" i="1" l="1"/>
  <c r="H1731" i="1" s="1"/>
  <c r="I1730" i="1"/>
  <c r="G1732" i="1" l="1"/>
  <c r="H1732" i="1" s="1"/>
  <c r="I1731" i="1"/>
  <c r="G1733" i="1" l="1"/>
  <c r="H1733" i="1" s="1"/>
  <c r="I1732" i="1"/>
  <c r="G1734" i="1" l="1"/>
  <c r="H1734" i="1" s="1"/>
  <c r="I1733" i="1"/>
  <c r="G1735" i="1" l="1"/>
  <c r="H1735" i="1" s="1"/>
  <c r="I1734" i="1"/>
  <c r="G1736" i="1" l="1"/>
  <c r="H1736" i="1" s="1"/>
  <c r="I1735" i="1"/>
  <c r="G1737" i="1" l="1"/>
  <c r="H1737" i="1" s="1"/>
  <c r="I1736" i="1"/>
  <c r="G1738" i="1" l="1"/>
  <c r="H1738" i="1" s="1"/>
  <c r="I1737" i="1"/>
  <c r="G1739" i="1" l="1"/>
  <c r="H1739" i="1" s="1"/>
  <c r="I1738" i="1"/>
  <c r="G1740" i="1" l="1"/>
  <c r="H1740" i="1" s="1"/>
  <c r="I1739" i="1"/>
  <c r="G1741" i="1" l="1"/>
  <c r="H1741" i="1" s="1"/>
  <c r="I1740" i="1"/>
  <c r="G1742" i="1" l="1"/>
  <c r="H1742" i="1" s="1"/>
  <c r="I1741" i="1"/>
  <c r="G1743" i="1" l="1"/>
  <c r="H1743" i="1" s="1"/>
  <c r="I1742" i="1"/>
  <c r="G1744" i="1" l="1"/>
  <c r="H1744" i="1" s="1"/>
  <c r="I1743" i="1"/>
  <c r="G1745" i="1" l="1"/>
  <c r="H1745" i="1" s="1"/>
  <c r="I1744" i="1"/>
  <c r="G1746" i="1" l="1"/>
  <c r="H1746" i="1" s="1"/>
  <c r="I1745" i="1"/>
  <c r="G1747" i="1" l="1"/>
  <c r="H1747" i="1" s="1"/>
  <c r="I1746" i="1"/>
  <c r="G1748" i="1" l="1"/>
  <c r="H1748" i="1" s="1"/>
  <c r="I1747" i="1"/>
  <c r="G1749" i="1" l="1"/>
  <c r="H1749" i="1" s="1"/>
  <c r="I1748" i="1"/>
  <c r="G1750" i="1" l="1"/>
  <c r="H1750" i="1" s="1"/>
  <c r="I1749" i="1"/>
  <c r="G1751" i="1" l="1"/>
  <c r="H1751" i="1" s="1"/>
  <c r="I1750" i="1"/>
  <c r="G1752" i="1" l="1"/>
  <c r="H1752" i="1" s="1"/>
  <c r="I1751" i="1"/>
  <c r="G1753" i="1" l="1"/>
  <c r="H1753" i="1" s="1"/>
  <c r="I1752" i="1"/>
  <c r="G1754" i="1" l="1"/>
  <c r="H1754" i="1" s="1"/>
  <c r="I1753" i="1"/>
  <c r="G1755" i="1" l="1"/>
  <c r="H1755" i="1" s="1"/>
  <c r="I1754" i="1"/>
  <c r="G1756" i="1" l="1"/>
  <c r="H1756" i="1" s="1"/>
  <c r="I1755" i="1"/>
  <c r="G1757" i="1" l="1"/>
  <c r="H1757" i="1" s="1"/>
  <c r="I1756" i="1"/>
  <c r="G1758" i="1" l="1"/>
  <c r="H1758" i="1" s="1"/>
  <c r="I1757" i="1"/>
  <c r="G1759" i="1" l="1"/>
  <c r="H1759" i="1" s="1"/>
  <c r="I1758" i="1"/>
  <c r="G1760" i="1" l="1"/>
  <c r="H1760" i="1" s="1"/>
  <c r="I1759" i="1"/>
  <c r="G1761" i="1" l="1"/>
  <c r="H1761" i="1" s="1"/>
  <c r="I1760" i="1"/>
  <c r="G1762" i="1" l="1"/>
  <c r="H1762" i="1" s="1"/>
  <c r="I1761" i="1"/>
  <c r="G1763" i="1" l="1"/>
  <c r="H1763" i="1" s="1"/>
  <c r="I1762" i="1"/>
  <c r="M21" i="1" l="1"/>
  <c r="I1763" i="1"/>
  <c r="M22" i="1" s="1"/>
</calcChain>
</file>

<file path=xl/sharedStrings.xml><?xml version="1.0" encoding="utf-8"?>
<sst xmlns="http://schemas.openxmlformats.org/spreadsheetml/2006/main" count="1787" uniqueCount="26">
  <si>
    <t>GOOG</t>
  </si>
  <si>
    <t>date</t>
  </si>
  <si>
    <t>symbol</t>
  </si>
  <si>
    <t>Price return</t>
  </si>
  <si>
    <t>Price</t>
  </si>
  <si>
    <t>Predicted return</t>
  </si>
  <si>
    <t>Residual of the AR part</t>
  </si>
  <si>
    <t>sigma</t>
  </si>
  <si>
    <t>epsilon</t>
  </si>
  <si>
    <t>η1</t>
  </si>
  <si>
    <t>Variance of epsilon</t>
  </si>
  <si>
    <t>Likelihood</t>
  </si>
  <si>
    <t>likelihood</t>
  </si>
  <si>
    <t>Choose a n</t>
  </si>
  <si>
    <t>α1</t>
  </si>
  <si>
    <t>α0</t>
  </si>
  <si>
    <t>β0</t>
  </si>
  <si>
    <t>σ²0</t>
  </si>
  <si>
    <t>Confusion Matrix</t>
  </si>
  <si>
    <t>true</t>
  </si>
  <si>
    <t>positif</t>
  </si>
  <si>
    <t>false</t>
  </si>
  <si>
    <t>negatif</t>
  </si>
  <si>
    <t>good prediction =</t>
  </si>
  <si>
    <t>η2</t>
  </si>
  <si>
    <t>η3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</si>
</sst>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%"/>
    <numFmt numFmtId="165" formatCode="0.000000%"/>
    <numFmt numFmtId="168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2" borderId="1" xfId="1" applyNumberFormat="1" applyFont="1" applyFill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68" fontId="0" fillId="5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right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5</xdr:row>
          <xdr:rowOff>104775</xdr:rowOff>
        </xdr:from>
        <xdr:to>
          <xdr:col>12</xdr:col>
          <xdr:colOff>752475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AR- Garch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23</xdr:row>
          <xdr:rowOff>95250</xdr:rowOff>
        </xdr:from>
        <xdr:to>
          <xdr:col>12</xdr:col>
          <xdr:colOff>752475</xdr:colOff>
          <xdr:row>26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Feuil1"/>
  <dimension ref="A1:T1764"/>
  <sheetViews>
    <sheetView tabSelected="1" workbookViewId="0">
      <selection activeCell="I6" sqref="I6"/>
    </sheetView>
  </sheetViews>
  <sheetFormatPr baseColWidth="10" defaultColWidth="11.42578125" defaultRowHeight="15" x14ac:dyDescent="0.25"/>
  <cols>
    <col min="1" max="3" width="11.42578125" style="2"/>
    <col min="4" max="4" width="11.42578125" style="7"/>
    <col min="5" max="5" width="15.5703125" style="2" bestFit="1" customWidth="1"/>
    <col min="6" max="6" width="21.42578125" style="7" bestFit="1" customWidth="1"/>
    <col min="7" max="8" width="11.42578125" style="2"/>
    <col min="9" max="9" width="11.42578125" style="4"/>
    <col min="10" max="11" width="11.42578125" style="2"/>
    <col min="12" max="12" width="18.140625" style="2" bestFit="1" customWidth="1"/>
    <col min="13" max="15" width="11.42578125" style="2"/>
    <col min="16" max="16" width="20.7109375" style="2" bestFit="1" customWidth="1"/>
    <col min="17" max="17" width="15.28515625" style="2" customWidth="1"/>
    <col min="18" max="18" width="13.42578125" style="2" customWidth="1"/>
    <col min="19" max="19" width="20.7109375" style="2" bestFit="1" customWidth="1"/>
    <col min="20" max="16384" width="11.42578125" style="2"/>
  </cols>
  <sheetData>
    <row r="1" spans="1:20" x14ac:dyDescent="0.25">
      <c r="A1" s="1" t="s">
        <v>1</v>
      </c>
      <c r="B1" s="1" t="s">
        <v>2</v>
      </c>
      <c r="C1" s="1" t="s">
        <v>4</v>
      </c>
      <c r="D1" s="5" t="s">
        <v>3</v>
      </c>
      <c r="E1" s="1" t="s">
        <v>5</v>
      </c>
      <c r="F1" s="5" t="s">
        <v>6</v>
      </c>
      <c r="G1" s="1" t="s">
        <v>7</v>
      </c>
      <c r="H1" s="1" t="s">
        <v>8</v>
      </c>
      <c r="I1" s="1" t="s">
        <v>12</v>
      </c>
    </row>
    <row r="2" spans="1:20" x14ac:dyDescent="0.25">
      <c r="A2" s="3">
        <v>40182</v>
      </c>
      <c r="B2" s="4" t="s">
        <v>0</v>
      </c>
      <c r="C2" s="4">
        <v>312.20530839999998</v>
      </c>
      <c r="D2" s="6"/>
      <c r="E2" s="4"/>
      <c r="F2" s="6"/>
      <c r="G2" s="4"/>
      <c r="H2" s="4"/>
    </row>
    <row r="3" spans="1:20" x14ac:dyDescent="0.25">
      <c r="A3" s="3">
        <v>40183</v>
      </c>
      <c r="B3" s="4" t="s">
        <v>0</v>
      </c>
      <c r="C3" s="4">
        <v>310.83045859999999</v>
      </c>
      <c r="D3" s="6">
        <f>(C3-C2)/C2</f>
        <v>-4.4036720805481116E-3</v>
      </c>
      <c r="E3" s="4"/>
      <c r="F3" s="6"/>
      <c r="G3" s="4"/>
      <c r="H3" s="4"/>
    </row>
    <row r="4" spans="1:20" x14ac:dyDescent="0.25">
      <c r="A4" s="3">
        <v>40184</v>
      </c>
      <c r="B4" s="4" t="s">
        <v>0</v>
      </c>
      <c r="C4" s="4">
        <v>302.99481259999999</v>
      </c>
      <c r="D4" s="6">
        <f t="shared" ref="D4:D67" si="0">(C4-C3)/C3</f>
        <v>-2.520874574291156E-2</v>
      </c>
      <c r="E4" s="4"/>
      <c r="F4" s="6"/>
      <c r="G4" s="4"/>
      <c r="H4" s="4"/>
      <c r="K4" s="9"/>
      <c r="L4" s="9"/>
      <c r="M4" s="9"/>
      <c r="N4" s="9"/>
      <c r="P4" s="20" t="s">
        <v>18</v>
      </c>
    </row>
    <row r="5" spans="1:20" x14ac:dyDescent="0.25">
      <c r="A5" s="3">
        <v>40185</v>
      </c>
      <c r="B5" s="4" t="s">
        <v>0</v>
      </c>
      <c r="C5" s="4">
        <v>295.94124210000001</v>
      </c>
      <c r="D5" s="6">
        <f t="shared" si="0"/>
        <v>-2.3279509109325188E-2</v>
      </c>
      <c r="E5" s="4"/>
      <c r="F5" s="6"/>
      <c r="G5" s="4"/>
      <c r="H5" s="4"/>
      <c r="K5" s="9"/>
      <c r="L5" s="9" t="s">
        <v>13</v>
      </c>
      <c r="M5" s="10">
        <v>3</v>
      </c>
      <c r="N5" s="9"/>
      <c r="P5" s="21"/>
      <c r="Q5" s="22" t="s">
        <v>20</v>
      </c>
      <c r="R5" s="21" t="s">
        <v>22</v>
      </c>
    </row>
    <row r="6" spans="1:20" x14ac:dyDescent="0.25">
      <c r="A6" s="3">
        <v>40186</v>
      </c>
      <c r="B6" s="4" t="s">
        <v>0</v>
      </c>
      <c r="C6" s="4">
        <v>299.88646990000001</v>
      </c>
      <c r="D6" s="6">
        <f t="shared" si="0"/>
        <v>1.3331118609912727E-2</v>
      </c>
      <c r="E6" s="4">
        <f>+$M$16*D5+$M$17*D4+$M$18*D3</f>
        <v>-1.0985879499164608E-2</v>
      </c>
      <c r="F6" s="6">
        <f>D6-E6</f>
        <v>2.4316998109077337E-2</v>
      </c>
      <c r="G6" s="4">
        <f>SQRT($M$10)</f>
        <v>1.0024668571817922E-2</v>
      </c>
      <c r="H6" s="4">
        <f>F6/G6</f>
        <v>2.4257159161789201</v>
      </c>
      <c r="I6" s="4">
        <f>LN(_xlfn.NORM.DIST(H6,0,1,FALSE))</f>
        <v>-3.8609873862065416</v>
      </c>
      <c r="K6" s="9"/>
      <c r="L6" s="9"/>
      <c r="M6" s="9"/>
      <c r="N6" s="9"/>
      <c r="P6" s="23" t="s">
        <v>19</v>
      </c>
      <c r="Q6" s="24">
        <v>485</v>
      </c>
      <c r="R6" s="24">
        <v>396</v>
      </c>
    </row>
    <row r="7" spans="1:20" x14ac:dyDescent="0.25">
      <c r="A7" s="3">
        <v>40189</v>
      </c>
      <c r="B7" s="4" t="s">
        <v>0</v>
      </c>
      <c r="C7" s="4">
        <v>299.43316099999998</v>
      </c>
      <c r="D7" s="6">
        <f t="shared" si="0"/>
        <v>-1.5116017076435115E-3</v>
      </c>
      <c r="E7" s="4">
        <f t="shared" ref="E7:E70" si="1">+$M$16*D6+$M$17*D5+$M$18*D4</f>
        <v>-1.6619240043851197E-2</v>
      </c>
      <c r="F7" s="6">
        <f t="shared" ref="F7:F70" si="2">D7-E7</f>
        <v>1.5107638336207686E-2</v>
      </c>
      <c r="G7" s="4">
        <f>SQRT($M$12 + $M$13 *H6^2+$M$14*G6^2)</f>
        <v>8.3625691084243017E-2</v>
      </c>
      <c r="H7" s="4">
        <f t="shared" ref="H7:H70" si="3">F7/G7</f>
        <v>0.18065785932924039</v>
      </c>
      <c r="I7" s="4">
        <f t="shared" ref="I7:I70" si="4">LN(_xlfn.NORM.DIST(H7,0,1,FALSE))</f>
        <v>-0.93525716427338446</v>
      </c>
      <c r="K7" s="9"/>
      <c r="L7" s="9"/>
      <c r="M7" s="9"/>
      <c r="N7" s="9"/>
      <c r="P7" s="21" t="s">
        <v>21</v>
      </c>
      <c r="Q7" s="24">
        <v>462</v>
      </c>
      <c r="R7" s="24">
        <v>415</v>
      </c>
    </row>
    <row r="8" spans="1:20" x14ac:dyDescent="0.25">
      <c r="A8" s="3">
        <v>40190</v>
      </c>
      <c r="B8" s="4" t="s">
        <v>0</v>
      </c>
      <c r="C8" s="4">
        <v>294.13801649999999</v>
      </c>
      <c r="D8" s="6">
        <f t="shared" si="0"/>
        <v>-1.7683894737363415E-2</v>
      </c>
      <c r="E8" s="4">
        <f t="shared" si="1"/>
        <v>-2.033221807292194E-3</v>
      </c>
      <c r="F8" s="6">
        <f t="shared" si="2"/>
        <v>-1.5650672930071222E-2</v>
      </c>
      <c r="G8" s="4">
        <f t="shared" ref="G8:G71" si="5">SQRT($M$12 + $M$13 *H7^2+$M$14*G7^2)</f>
        <v>3.290045256671946E-2</v>
      </c>
      <c r="H8" s="4">
        <f t="shared" si="3"/>
        <v>-0.4756978007622516</v>
      </c>
      <c r="I8" s="4">
        <f t="shared" si="4"/>
        <v>-1.0320827320296941</v>
      </c>
      <c r="K8" s="9"/>
      <c r="L8" s="9"/>
      <c r="M8" s="12"/>
      <c r="N8" s="9"/>
    </row>
    <row r="9" spans="1:20" x14ac:dyDescent="0.25">
      <c r="A9" s="3">
        <v>40191</v>
      </c>
      <c r="B9" s="4" t="s">
        <v>0</v>
      </c>
      <c r="C9" s="4">
        <v>292.44932360000001</v>
      </c>
      <c r="D9" s="6">
        <f t="shared" si="0"/>
        <v>-5.7411582497700637E-3</v>
      </c>
      <c r="E9" s="4">
        <f t="shared" si="1"/>
        <v>3.5044769664463603E-3</v>
      </c>
      <c r="F9" s="6">
        <f t="shared" si="2"/>
        <v>-9.2456352162164235E-3</v>
      </c>
      <c r="G9" s="4">
        <f t="shared" si="5"/>
        <v>2.1212038239585954E-2</v>
      </c>
      <c r="H9" s="4">
        <f t="shared" si="3"/>
        <v>-0.43586736511544649</v>
      </c>
      <c r="I9" s="4">
        <f t="shared" si="4"/>
        <v>-1.0139287131910137</v>
      </c>
      <c r="K9" s="9"/>
      <c r="L9" s="9"/>
      <c r="M9" s="9"/>
      <c r="N9" s="9"/>
    </row>
    <row r="10" spans="1:20" x14ac:dyDescent="0.25">
      <c r="A10" s="3">
        <v>40192</v>
      </c>
      <c r="B10" s="4" t="s">
        <v>0</v>
      </c>
      <c r="C10" s="4">
        <v>293.82417340000001</v>
      </c>
      <c r="D10" s="6">
        <f t="shared" si="0"/>
        <v>4.7011556842595226E-3</v>
      </c>
      <c r="E10" s="4">
        <f t="shared" si="1"/>
        <v>-7.2232316283112339E-3</v>
      </c>
      <c r="F10" s="6">
        <f t="shared" si="2"/>
        <v>1.1924387312570756E-2</v>
      </c>
      <c r="G10" s="4">
        <f t="shared" si="5"/>
        <v>1.7744662751703045E-2</v>
      </c>
      <c r="H10" s="4">
        <f t="shared" si="3"/>
        <v>0.67199853158247891</v>
      </c>
      <c r="I10" s="4">
        <f t="shared" si="4"/>
        <v>-1.1447295464291767</v>
      </c>
      <c r="K10" s="9"/>
      <c r="L10" s="11" t="s">
        <v>17</v>
      </c>
      <c r="M10" s="10">
        <v>1.0049397997479396E-4</v>
      </c>
      <c r="N10" s="9"/>
      <c r="P10" s="26" t="s">
        <v>23</v>
      </c>
      <c r="Q10" s="25">
        <v>0.50113765642775887</v>
      </c>
    </row>
    <row r="11" spans="1:20" x14ac:dyDescent="0.25">
      <c r="A11" s="3">
        <v>40193</v>
      </c>
      <c r="B11" s="4" t="s">
        <v>0</v>
      </c>
      <c r="C11" s="4">
        <v>288.91754859999998</v>
      </c>
      <c r="D11" s="6">
        <f t="shared" si="0"/>
        <v>-1.6699186943071414E-2</v>
      </c>
      <c r="E11" s="4">
        <f t="shared" si="1"/>
        <v>-7.6103633401241903E-3</v>
      </c>
      <c r="F11" s="6">
        <f t="shared" si="2"/>
        <v>-9.0888236029472227E-3</v>
      </c>
      <c r="G11" s="4">
        <f t="shared" si="5"/>
        <v>2.4583528658542419E-2</v>
      </c>
      <c r="H11" s="4">
        <f t="shared" si="3"/>
        <v>-0.36971192090395816</v>
      </c>
      <c r="I11" s="4">
        <f t="shared" si="4"/>
        <v>-0.98728198543391998</v>
      </c>
      <c r="K11" s="9"/>
      <c r="L11" s="12"/>
      <c r="M11" s="12"/>
      <c r="N11" s="9"/>
      <c r="P11" s="15"/>
      <c r="Q11" s="15"/>
      <c r="R11" s="15"/>
      <c r="S11" s="15"/>
      <c r="T11" s="15"/>
    </row>
    <row r="12" spans="1:20" x14ac:dyDescent="0.25">
      <c r="A12" s="3">
        <v>40197</v>
      </c>
      <c r="B12" s="4" t="s">
        <v>0</v>
      </c>
      <c r="C12" s="4">
        <v>292.7133316</v>
      </c>
      <c r="D12" s="6">
        <f t="shared" si="0"/>
        <v>1.3137945474039748E-2</v>
      </c>
      <c r="E12" s="4">
        <f t="shared" si="1"/>
        <v>3.8577714778013396E-5</v>
      </c>
      <c r="F12" s="6">
        <f t="shared" si="2"/>
        <v>1.3099367759261734E-2</v>
      </c>
      <c r="G12" s="4">
        <f t="shared" si="5"/>
        <v>1.6564736560949683E-2</v>
      </c>
      <c r="H12" s="4">
        <f t="shared" si="3"/>
        <v>0.79079843564446806</v>
      </c>
      <c r="I12" s="4">
        <f t="shared" si="4"/>
        <v>-1.2316196161135415</v>
      </c>
      <c r="K12" s="9"/>
      <c r="L12" s="11" t="s">
        <v>15</v>
      </c>
      <c r="M12" s="10">
        <v>2.4785821129116607E-5</v>
      </c>
      <c r="N12" s="9"/>
      <c r="P12" s="15"/>
      <c r="Q12" s="15"/>
      <c r="R12" s="15"/>
      <c r="S12" s="15"/>
      <c r="T12" s="15"/>
    </row>
    <row r="13" spans="1:20" x14ac:dyDescent="0.25">
      <c r="A13" s="3">
        <v>40198</v>
      </c>
      <c r="B13" s="4" t="s">
        <v>0</v>
      </c>
      <c r="C13" s="4">
        <v>289.121803</v>
      </c>
      <c r="D13" s="6">
        <f t="shared" si="0"/>
        <v>-1.2269781428704846E-2</v>
      </c>
      <c r="E13" s="4">
        <f t="shared" si="1"/>
        <v>-4.9437500241577906E-3</v>
      </c>
      <c r="F13" s="6">
        <f t="shared" si="2"/>
        <v>-7.3260314045470558E-3</v>
      </c>
      <c r="G13" s="4">
        <f t="shared" si="5"/>
        <v>2.8351789405962106E-2</v>
      </c>
      <c r="H13" s="4">
        <f t="shared" si="3"/>
        <v>-0.25839749652649657</v>
      </c>
      <c r="I13" s="4">
        <f t="shared" si="4"/>
        <v>-0.95232316631025293</v>
      </c>
      <c r="K13" s="9"/>
      <c r="L13" s="11" t="s">
        <v>14</v>
      </c>
      <c r="M13" s="13">
        <v>1.1817998918376487E-3</v>
      </c>
      <c r="N13" s="9"/>
      <c r="P13" s="15"/>
      <c r="Q13" s="15"/>
      <c r="R13" s="15"/>
      <c r="S13" s="15"/>
      <c r="T13" s="15"/>
    </row>
    <row r="14" spans="1:20" x14ac:dyDescent="0.25">
      <c r="A14" s="3">
        <v>40199</v>
      </c>
      <c r="B14" s="4" t="s">
        <v>0</v>
      </c>
      <c r="C14" s="4">
        <v>290.40198709999999</v>
      </c>
      <c r="D14" s="6">
        <f t="shared" si="0"/>
        <v>4.4278365959138175E-3</v>
      </c>
      <c r="E14" s="4">
        <f t="shared" si="1"/>
        <v>-9.2044827665150285E-5</v>
      </c>
      <c r="F14" s="6">
        <f t="shared" si="2"/>
        <v>4.5198814235789678E-3</v>
      </c>
      <c r="G14" s="4">
        <f t="shared" si="5"/>
        <v>1.4860348021834075E-2</v>
      </c>
      <c r="H14" s="4">
        <f t="shared" si="3"/>
        <v>0.3041571716179175</v>
      </c>
      <c r="I14" s="4">
        <f t="shared" si="4"/>
        <v>-0.96519432572797836</v>
      </c>
      <c r="K14" s="9"/>
      <c r="L14" s="11" t="s">
        <v>16</v>
      </c>
      <c r="M14" s="10">
        <v>0.14572371075783166</v>
      </c>
      <c r="N14" s="9"/>
      <c r="P14" s="15"/>
      <c r="Q14" s="15"/>
      <c r="R14" s="15"/>
      <c r="S14" s="15"/>
      <c r="T14" s="15"/>
    </row>
    <row r="15" spans="1:20" ht="13.5" customHeight="1" x14ac:dyDescent="0.25">
      <c r="A15" s="3">
        <v>40200</v>
      </c>
      <c r="B15" s="4" t="s">
        <v>0</v>
      </c>
      <c r="C15" s="4">
        <v>273.97852769999997</v>
      </c>
      <c r="D15" s="6">
        <f t="shared" si="0"/>
        <v>-5.6554225279266394E-2</v>
      </c>
      <c r="E15" s="4">
        <f t="shared" si="1"/>
        <v>-6.6686901845568972E-4</v>
      </c>
      <c r="F15" s="6">
        <f t="shared" si="2"/>
        <v>-5.5887356260810706E-2</v>
      </c>
      <c r="G15" s="4">
        <f t="shared" si="5"/>
        <v>1.2895586885420324E-2</v>
      </c>
      <c r="H15" s="4">
        <f t="shared" si="3"/>
        <v>-4.3338358120014391</v>
      </c>
      <c r="I15" s="4">
        <f t="shared" si="4"/>
        <v>-10.310004955897758</v>
      </c>
      <c r="K15" s="9"/>
      <c r="L15" s="11"/>
      <c r="M15" s="12"/>
      <c r="N15" s="9"/>
      <c r="P15" s="15"/>
      <c r="Q15" s="15"/>
      <c r="R15" s="15"/>
      <c r="S15" s="15"/>
      <c r="T15" s="15"/>
    </row>
    <row r="16" spans="1:20" x14ac:dyDescent="0.25">
      <c r="A16" s="3">
        <v>40203</v>
      </c>
      <c r="B16" s="4" t="s">
        <v>0</v>
      </c>
      <c r="C16" s="4">
        <v>268.99222159999999</v>
      </c>
      <c r="D16" s="6">
        <f t="shared" si="0"/>
        <v>-1.8199623678027303E-2</v>
      </c>
      <c r="E16" s="4">
        <f t="shared" si="1"/>
        <v>-2.0661088893671863E-3</v>
      </c>
      <c r="F16" s="6">
        <f t="shared" si="2"/>
        <v>-1.6133514788660118E-2</v>
      </c>
      <c r="G16" s="4">
        <f t="shared" si="5"/>
        <v>0.1491500642975723</v>
      </c>
      <c r="H16" s="4">
        <f t="shared" si="3"/>
        <v>-0.10816968041308932</v>
      </c>
      <c r="I16" s="4">
        <f t="shared" si="4"/>
        <v>-0.92478887308500757</v>
      </c>
      <c r="K16" s="9"/>
      <c r="L16" s="11" t="s">
        <v>9</v>
      </c>
      <c r="M16" s="13">
        <v>2.0000139810832743E-5</v>
      </c>
      <c r="N16" s="9"/>
      <c r="P16" s="15"/>
      <c r="Q16" s="15"/>
      <c r="R16" s="15"/>
      <c r="S16" s="15"/>
      <c r="T16" s="15"/>
    </row>
    <row r="17" spans="1:20" x14ac:dyDescent="0.25">
      <c r="A17" s="3">
        <v>40204</v>
      </c>
      <c r="B17" s="4" t="s">
        <v>0</v>
      </c>
      <c r="C17" s="4">
        <v>270.19769819999999</v>
      </c>
      <c r="D17" s="6">
        <f t="shared" si="0"/>
        <v>4.481455236250583E-3</v>
      </c>
      <c r="E17" s="4">
        <f t="shared" si="1"/>
        <v>-2.0263834212617838E-2</v>
      </c>
      <c r="F17" s="6">
        <f t="shared" si="2"/>
        <v>2.4745289448868422E-2</v>
      </c>
      <c r="G17" s="4">
        <f t="shared" si="5"/>
        <v>5.7274302347301312E-2</v>
      </c>
      <c r="H17" s="4">
        <f t="shared" si="3"/>
        <v>0.43204872752211509</v>
      </c>
      <c r="I17" s="4">
        <f t="shared" si="4"/>
        <v>-1.0122715846814121</v>
      </c>
      <c r="K17" s="9"/>
      <c r="L17" s="11" t="s">
        <v>24</v>
      </c>
      <c r="M17" s="13">
        <v>0.38227921721600494</v>
      </c>
      <c r="N17" s="9"/>
      <c r="P17" s="15"/>
      <c r="Q17" s="15"/>
      <c r="R17" s="15"/>
      <c r="S17" s="15"/>
      <c r="T17" s="15"/>
    </row>
    <row r="18" spans="1:20" x14ac:dyDescent="0.25">
      <c r="A18" s="3">
        <v>40205</v>
      </c>
      <c r="B18" s="4" t="s">
        <v>0</v>
      </c>
      <c r="C18" s="4">
        <v>270.0383046</v>
      </c>
      <c r="D18" s="6">
        <f t="shared" si="0"/>
        <v>-5.8991472193077013E-4</v>
      </c>
      <c r="E18" s="4">
        <f t="shared" si="1"/>
        <v>-2.4277104860183148E-2</v>
      </c>
      <c r="F18" s="6">
        <f t="shared" si="2"/>
        <v>2.3687190138252379E-2</v>
      </c>
      <c r="G18" s="4">
        <f t="shared" si="5"/>
        <v>2.68963185352054E-2</v>
      </c>
      <c r="H18" s="4">
        <f t="shared" si="3"/>
        <v>0.88068521746749484</v>
      </c>
      <c r="I18" s="4">
        <f t="shared" si="4"/>
        <v>-1.306741759337557</v>
      </c>
      <c r="K18" s="9"/>
      <c r="L18" s="11" t="s">
        <v>25</v>
      </c>
      <c r="M18" s="10">
        <v>0.30625221212254844</v>
      </c>
      <c r="N18" s="9"/>
      <c r="P18" s="15"/>
      <c r="Q18" s="15"/>
      <c r="R18" s="15"/>
      <c r="S18" s="15"/>
      <c r="T18" s="15"/>
    </row>
    <row r="19" spans="1:20" x14ac:dyDescent="0.25">
      <c r="A19" s="3">
        <v>40206</v>
      </c>
      <c r="B19" s="4" t="s">
        <v>0</v>
      </c>
      <c r="C19" s="4">
        <v>266.14785649999999</v>
      </c>
      <c r="D19" s="6">
        <f t="shared" si="0"/>
        <v>-1.4407023128673629E-2</v>
      </c>
      <c r="E19" s="4">
        <f t="shared" si="1"/>
        <v>-3.8605196098682485E-3</v>
      </c>
      <c r="F19" s="6">
        <f t="shared" si="2"/>
        <v>-1.0546503518805379E-2</v>
      </c>
      <c r="G19" s="4">
        <f t="shared" si="5"/>
        <v>3.2354531620699331E-2</v>
      </c>
      <c r="H19" s="4">
        <f t="shared" si="3"/>
        <v>-0.32596681177291664</v>
      </c>
      <c r="I19" s="4">
        <f t="shared" si="4"/>
        <v>-0.97206571439337275</v>
      </c>
      <c r="K19" s="9"/>
      <c r="L19" s="9"/>
      <c r="M19" s="9"/>
      <c r="N19" s="9"/>
      <c r="P19" s="16"/>
      <c r="Q19" s="17"/>
      <c r="R19" s="15"/>
      <c r="S19" s="16"/>
      <c r="T19" s="15"/>
    </row>
    <row r="20" spans="1:20" ht="12.75" customHeight="1" x14ac:dyDescent="0.25">
      <c r="A20" s="3">
        <v>40207</v>
      </c>
      <c r="B20" s="4" t="s">
        <v>0</v>
      </c>
      <c r="C20" s="4">
        <v>263.98098249999998</v>
      </c>
      <c r="D20" s="6">
        <f t="shared" si="0"/>
        <v>-8.1416173269086879E-3</v>
      </c>
      <c r="E20" s="4">
        <f t="shared" si="1"/>
        <v>1.1466552990291956E-3</v>
      </c>
      <c r="F20" s="6">
        <f t="shared" si="2"/>
        <v>-9.2882726259378833E-3</v>
      </c>
      <c r="G20" s="4">
        <f t="shared" si="5"/>
        <v>1.7404111174279466E-2</v>
      </c>
      <c r="H20" s="4">
        <f t="shared" si="3"/>
        <v>-0.5336826760601534</v>
      </c>
      <c r="I20" s="4">
        <f t="shared" si="4"/>
        <v>-1.0613471325680359</v>
      </c>
      <c r="K20" s="9"/>
      <c r="L20" s="9"/>
      <c r="M20" s="9">
        <v>0</v>
      </c>
      <c r="N20" s="9"/>
      <c r="P20" s="15"/>
      <c r="Q20" s="17"/>
      <c r="R20" s="15"/>
      <c r="S20" s="15"/>
      <c r="T20" s="15"/>
    </row>
    <row r="21" spans="1:20" x14ac:dyDescent="0.25">
      <c r="A21" s="3">
        <v>40210</v>
      </c>
      <c r="B21" s="4" t="s">
        <v>0</v>
      </c>
      <c r="C21" s="4">
        <v>265.5152258</v>
      </c>
      <c r="D21" s="6">
        <f t="shared" si="0"/>
        <v>5.8119463207923104E-3</v>
      </c>
      <c r="E21" s="4">
        <f t="shared" si="1"/>
        <v>-5.6883310460820145E-3</v>
      </c>
      <c r="F21" s="6">
        <f t="shared" si="2"/>
        <v>1.1500277366874326E-2</v>
      </c>
      <c r="G21" s="4">
        <f t="shared" si="5"/>
        <v>2.0137599594683139E-2</v>
      </c>
      <c r="H21" s="4">
        <f t="shared" si="3"/>
        <v>0.57108481638053343</v>
      </c>
      <c r="I21" s="4">
        <f t="shared" si="4"/>
        <v>-1.0820074669548665</v>
      </c>
      <c r="K21" s="9"/>
      <c r="L21" s="9" t="s">
        <v>10</v>
      </c>
      <c r="M21" s="10">
        <f>_xlfn.VAR.S(H6:H1763)</f>
        <v>0.94999999597038676</v>
      </c>
      <c r="N21" s="9"/>
      <c r="P21" s="15"/>
      <c r="Q21" s="17"/>
      <c r="R21" s="15"/>
      <c r="S21" s="15"/>
      <c r="T21" s="15"/>
    </row>
    <row r="22" spans="1:20" x14ac:dyDescent="0.25">
      <c r="A22" s="3">
        <v>40211</v>
      </c>
      <c r="B22" s="4" t="s">
        <v>0</v>
      </c>
      <c r="C22" s="4">
        <v>264.56878280000001</v>
      </c>
      <c r="D22" s="6">
        <f t="shared" si="0"/>
        <v>-3.5645526434438771E-3</v>
      </c>
      <c r="E22" s="4">
        <f t="shared" si="1"/>
        <v>-7.5244375621209445E-3</v>
      </c>
      <c r="F22" s="6">
        <f t="shared" si="2"/>
        <v>3.959884918677067E-3</v>
      </c>
      <c r="G22" s="4">
        <f t="shared" si="5"/>
        <v>2.1663559771914684E-2</v>
      </c>
      <c r="H22" s="4">
        <f t="shared" si="3"/>
        <v>0.18279013054035495</v>
      </c>
      <c r="I22" s="4">
        <f t="shared" si="4"/>
        <v>-0.93564464911615264</v>
      </c>
      <c r="K22" s="9"/>
      <c r="L22" s="9" t="s">
        <v>11</v>
      </c>
      <c r="M22" s="10">
        <f>SUM(I5:I1763)</f>
        <v>-2450.2184773038925</v>
      </c>
      <c r="N22" s="9"/>
      <c r="P22" s="15"/>
      <c r="Q22" s="17"/>
      <c r="R22" s="15"/>
      <c r="S22" s="15"/>
      <c r="T22" s="15"/>
    </row>
    <row r="23" spans="1:20" x14ac:dyDescent="0.25">
      <c r="A23" s="3">
        <v>40212</v>
      </c>
      <c r="B23" s="4" t="s">
        <v>0</v>
      </c>
      <c r="C23" s="4">
        <v>269.40066969999998</v>
      </c>
      <c r="D23" s="6">
        <f t="shared" si="0"/>
        <v>1.8263254072770265E-2</v>
      </c>
      <c r="E23" s="4">
        <f t="shared" si="1"/>
        <v>-2.7167331815836299E-4</v>
      </c>
      <c r="F23" s="6">
        <f t="shared" si="2"/>
        <v>1.8534927390928629E-2</v>
      </c>
      <c r="G23" s="4">
        <f t="shared" si="5"/>
        <v>1.1517897457401581E-2</v>
      </c>
      <c r="H23" s="4">
        <f t="shared" si="3"/>
        <v>1.6092283734491659</v>
      </c>
      <c r="I23" s="4">
        <f t="shared" si="4"/>
        <v>-2.2137465121615967</v>
      </c>
      <c r="K23" s="9"/>
      <c r="L23" s="9"/>
      <c r="M23" s="9">
        <v>0</v>
      </c>
      <c r="N23" s="9"/>
      <c r="P23" s="15"/>
      <c r="Q23" s="18"/>
      <c r="R23" s="15"/>
      <c r="S23" s="15"/>
      <c r="T23" s="15"/>
    </row>
    <row r="24" spans="1:20" x14ac:dyDescent="0.25">
      <c r="A24" s="3">
        <v>40213</v>
      </c>
      <c r="B24" s="4" t="s">
        <v>0</v>
      </c>
      <c r="C24" s="4">
        <v>262.40688310000002</v>
      </c>
      <c r="D24" s="6">
        <f t="shared" si="0"/>
        <v>-2.596053902831098E-2</v>
      </c>
      <c r="E24" s="4">
        <f t="shared" si="1"/>
        <v>4.1763229085404118E-4</v>
      </c>
      <c r="F24" s="6">
        <f t="shared" si="2"/>
        <v>-2.637817131916502E-2</v>
      </c>
      <c r="G24" s="4">
        <f t="shared" si="5"/>
        <v>5.5718270553278812E-2</v>
      </c>
      <c r="H24" s="4">
        <f t="shared" si="3"/>
        <v>-0.47342049667427738</v>
      </c>
      <c r="I24" s="4">
        <f t="shared" si="4"/>
        <v>-1.0310020165403324</v>
      </c>
      <c r="K24" s="9"/>
      <c r="L24" s="9"/>
      <c r="M24" s="9"/>
      <c r="N24" s="9"/>
      <c r="P24" s="15"/>
      <c r="Q24" s="19"/>
      <c r="R24" s="15"/>
      <c r="S24" s="15"/>
      <c r="T24" s="15"/>
    </row>
    <row r="25" spans="1:20" x14ac:dyDescent="0.25">
      <c r="A25" s="3">
        <v>40214</v>
      </c>
      <c r="B25" s="4" t="s">
        <v>0</v>
      </c>
      <c r="C25" s="4">
        <v>264.65346879999998</v>
      </c>
      <c r="D25" s="6">
        <f t="shared" si="0"/>
        <v>8.5614587295098615E-3</v>
      </c>
      <c r="E25" s="4">
        <f t="shared" si="1"/>
        <v>5.8894911240635348E-3</v>
      </c>
      <c r="F25" s="6">
        <f t="shared" si="2"/>
        <v>2.6719676054463267E-3</v>
      </c>
      <c r="G25" s="4">
        <f t="shared" si="5"/>
        <v>2.7240815835379014E-2</v>
      </c>
      <c r="H25" s="4">
        <f t="shared" si="3"/>
        <v>9.8086915663374089E-2</v>
      </c>
      <c r="I25" s="4">
        <f t="shared" si="4"/>
        <v>-0.92374905471684965</v>
      </c>
      <c r="K25" s="9"/>
      <c r="L25" s="9"/>
      <c r="M25" s="9"/>
      <c r="N25" s="9"/>
      <c r="P25" s="15"/>
      <c r="Q25" s="17"/>
      <c r="R25" s="15"/>
      <c r="S25" s="15"/>
      <c r="T25" s="15"/>
    </row>
    <row r="26" spans="1:20" x14ac:dyDescent="0.25">
      <c r="A26" s="3">
        <v>40217</v>
      </c>
      <c r="B26" s="4" t="s">
        <v>0</v>
      </c>
      <c r="C26" s="4">
        <v>265.73940850000002</v>
      </c>
      <c r="D26" s="6">
        <f t="shared" si="0"/>
        <v>4.1032513381515142E-3</v>
      </c>
      <c r="E26" s="4">
        <f t="shared" si="1"/>
        <v>-4.3308413475346558E-3</v>
      </c>
      <c r="F26" s="6">
        <f t="shared" si="2"/>
        <v>8.43409268568617E-3</v>
      </c>
      <c r="G26" s="4">
        <f t="shared" si="5"/>
        <v>1.2012160667048993E-2</v>
      </c>
      <c r="H26" s="4">
        <f t="shared" si="3"/>
        <v>0.7021295268570662</v>
      </c>
      <c r="I26" s="4">
        <f t="shared" si="4"/>
        <v>-1.1654314694469365</v>
      </c>
      <c r="K26" s="9"/>
      <c r="L26" s="9"/>
      <c r="M26" s="9"/>
      <c r="N26" s="9"/>
      <c r="P26" s="15"/>
      <c r="Q26" s="15"/>
      <c r="R26" s="15"/>
      <c r="S26" s="15"/>
      <c r="T26" s="15"/>
    </row>
    <row r="27" spans="1:20" x14ac:dyDescent="0.25">
      <c r="A27" s="3">
        <v>40218</v>
      </c>
      <c r="B27" s="4" t="s">
        <v>0</v>
      </c>
      <c r="C27" s="4">
        <v>267.2188726</v>
      </c>
      <c r="D27" s="6">
        <f t="shared" si="0"/>
        <v>5.5673492627645879E-3</v>
      </c>
      <c r="E27" s="4">
        <f t="shared" si="1"/>
        <v>-4.6775226983693883E-3</v>
      </c>
      <c r="F27" s="6">
        <f t="shared" si="2"/>
        <v>1.0244871961133977E-2</v>
      </c>
      <c r="G27" s="4">
        <f t="shared" si="5"/>
        <v>2.5068371270357794E-2</v>
      </c>
      <c r="H27" s="4">
        <f t="shared" si="3"/>
        <v>0.40867720725231443</v>
      </c>
      <c r="I27" s="4">
        <f t="shared" si="4"/>
        <v>-1.0024470630684483</v>
      </c>
      <c r="K27" s="9"/>
      <c r="L27" s="9"/>
      <c r="M27" s="9"/>
      <c r="N27" s="9"/>
      <c r="P27" s="15"/>
      <c r="Q27" s="15"/>
      <c r="R27" s="15"/>
      <c r="S27" s="15"/>
      <c r="T27" s="15"/>
    </row>
    <row r="28" spans="1:20" x14ac:dyDescent="0.25">
      <c r="A28" s="3">
        <v>40219</v>
      </c>
      <c r="B28" s="4" t="s">
        <v>0</v>
      </c>
      <c r="C28" s="4">
        <v>266.22756820000001</v>
      </c>
      <c r="D28" s="6">
        <f t="shared" si="0"/>
        <v>-3.7097095364363496E-3</v>
      </c>
      <c r="E28" s="4">
        <f t="shared" si="1"/>
        <v>4.1906647322610142E-3</v>
      </c>
      <c r="F28" s="6">
        <f t="shared" si="2"/>
        <v>-7.9003742686973646E-3</v>
      </c>
      <c r="G28" s="4">
        <f t="shared" si="5"/>
        <v>1.7712784378511207E-2</v>
      </c>
      <c r="H28" s="4">
        <f t="shared" si="3"/>
        <v>-0.44602667202802621</v>
      </c>
      <c r="I28" s="4">
        <f t="shared" si="4"/>
        <v>-1.018408429284871</v>
      </c>
      <c r="K28" s="9"/>
      <c r="L28" s="9"/>
      <c r="M28" s="9"/>
      <c r="N28" s="9"/>
      <c r="P28" s="15"/>
      <c r="Q28" s="15"/>
      <c r="R28" s="15"/>
      <c r="S28" s="15"/>
      <c r="T28" s="15"/>
    </row>
    <row r="29" spans="1:20" x14ac:dyDescent="0.25">
      <c r="A29" s="3">
        <v>40220</v>
      </c>
      <c r="B29" s="4" t="s">
        <v>0</v>
      </c>
      <c r="C29" s="4">
        <v>267.19894429999999</v>
      </c>
      <c r="D29" s="6">
        <f t="shared" si="0"/>
        <v>3.6486683425296235E-3</v>
      </c>
      <c r="E29" s="4">
        <f t="shared" si="1"/>
        <v>3.3848375226320712E-3</v>
      </c>
      <c r="F29" s="6">
        <f t="shared" si="2"/>
        <v>2.6383081989755225E-4</v>
      </c>
      <c r="G29" s="4">
        <f t="shared" si="5"/>
        <v>1.7481779111104066E-2</v>
      </c>
      <c r="H29" s="4">
        <f t="shared" si="3"/>
        <v>1.5091760296294577E-2</v>
      </c>
      <c r="I29" s="4">
        <f t="shared" si="4"/>
        <v>-0.91905241381909308</v>
      </c>
      <c r="K29" s="9"/>
      <c r="L29" s="9"/>
      <c r="M29" s="9"/>
      <c r="N29" s="9"/>
      <c r="P29" s="15"/>
      <c r="Q29" s="15"/>
      <c r="R29" s="15"/>
      <c r="S29" s="15"/>
      <c r="T29" s="15"/>
    </row>
    <row r="30" spans="1:20" x14ac:dyDescent="0.25">
      <c r="A30" s="3">
        <v>40221</v>
      </c>
      <c r="B30" s="4" t="s">
        <v>0</v>
      </c>
      <c r="C30" s="4">
        <v>265.56506100000001</v>
      </c>
      <c r="D30" s="6">
        <f t="shared" si="0"/>
        <v>-6.1148568692154801E-3</v>
      </c>
      <c r="E30" s="4">
        <f t="shared" si="1"/>
        <v>2.8694114356983178E-4</v>
      </c>
      <c r="F30" s="6">
        <f t="shared" si="2"/>
        <v>-6.4017980127853121E-3</v>
      </c>
      <c r="G30" s="4">
        <f t="shared" si="5"/>
        <v>8.3420615905593805E-3</v>
      </c>
      <c r="H30" s="4">
        <f t="shared" si="3"/>
        <v>-0.76741198123377041</v>
      </c>
      <c r="I30" s="4">
        <f t="shared" si="4"/>
        <v>-1.2133991076752433</v>
      </c>
      <c r="K30" s="9"/>
      <c r="L30" s="9"/>
      <c r="M30" s="9"/>
      <c r="N30" s="9"/>
      <c r="P30" s="15"/>
      <c r="Q30" s="15"/>
      <c r="R30" s="15"/>
      <c r="S30" s="15"/>
      <c r="T30" s="15"/>
    </row>
    <row r="31" spans="1:20" x14ac:dyDescent="0.25">
      <c r="A31" s="3">
        <v>40225</v>
      </c>
      <c r="B31" s="4" t="s">
        <v>0</v>
      </c>
      <c r="C31" s="4">
        <v>269.63977490000002</v>
      </c>
      <c r="D31" s="6">
        <f t="shared" si="0"/>
        <v>1.5343561704451799E-2</v>
      </c>
      <c r="E31" s="4">
        <f t="shared" si="1"/>
        <v>2.585810280049893E-4</v>
      </c>
      <c r="F31" s="6">
        <f t="shared" si="2"/>
        <v>1.508498067644681E-2</v>
      </c>
      <c r="G31" s="4">
        <f t="shared" si="5"/>
        <v>2.703541534826873E-2</v>
      </c>
      <c r="H31" s="4">
        <f t="shared" si="3"/>
        <v>0.5579711087151028</v>
      </c>
      <c r="I31" s="4">
        <f t="shared" si="4"/>
        <v>-1.0746044122850533</v>
      </c>
      <c r="K31" s="9"/>
      <c r="L31" s="9"/>
      <c r="M31" s="9"/>
      <c r="N31" s="9"/>
      <c r="P31" s="15"/>
      <c r="Q31" s="15"/>
      <c r="R31" s="15"/>
      <c r="S31" s="15"/>
      <c r="T31" s="15"/>
    </row>
    <row r="32" spans="1:20" x14ac:dyDescent="0.25">
      <c r="A32" s="3">
        <v>40226</v>
      </c>
      <c r="B32" s="4" t="s">
        <v>0</v>
      </c>
      <c r="C32" s="4">
        <v>268.10055729999999</v>
      </c>
      <c r="D32" s="6">
        <f t="shared" si="0"/>
        <v>-5.7084219142775625E-3</v>
      </c>
      <c r="E32" s="4">
        <f t="shared" si="1"/>
        <v>-1.2198630727711095E-3</v>
      </c>
      <c r="F32" s="6">
        <f t="shared" si="2"/>
        <v>-4.4885588415064532E-3</v>
      </c>
      <c r="G32" s="4">
        <f t="shared" si="5"/>
        <v>2.2343435577084937E-2</v>
      </c>
      <c r="H32" s="4">
        <f t="shared" si="3"/>
        <v>-0.20088937648021532</v>
      </c>
      <c r="I32" s="4">
        <f t="shared" si="4"/>
        <v>-0.93911680399597741</v>
      </c>
      <c r="K32" s="9"/>
      <c r="L32" s="9"/>
      <c r="M32" s="9"/>
      <c r="N32" s="9"/>
      <c r="P32" s="15"/>
      <c r="Q32" s="15"/>
      <c r="R32" s="15"/>
      <c r="S32" s="15"/>
      <c r="T32" s="15"/>
    </row>
    <row r="33" spans="1:14" x14ac:dyDescent="0.25">
      <c r="A33" s="3">
        <v>40227</v>
      </c>
      <c r="B33" s="4" t="s">
        <v>0</v>
      </c>
      <c r="C33" s="4">
        <v>270.59619750000002</v>
      </c>
      <c r="D33" s="6">
        <f t="shared" si="0"/>
        <v>9.3085975841797532E-3</v>
      </c>
      <c r="E33" s="4">
        <f t="shared" si="1"/>
        <v>3.9927221454369175E-3</v>
      </c>
      <c r="F33" s="6">
        <f t="shared" si="2"/>
        <v>5.3158754387428358E-3</v>
      </c>
      <c r="G33" s="4">
        <f t="shared" si="5"/>
        <v>1.205108694382098E-2</v>
      </c>
      <c r="H33" s="4">
        <f t="shared" si="3"/>
        <v>0.44111169917900839</v>
      </c>
      <c r="I33" s="4">
        <f t="shared" si="4"/>
        <v>-1.0162282987809685</v>
      </c>
      <c r="K33" s="9"/>
      <c r="L33" s="9"/>
      <c r="M33" s="9"/>
      <c r="N33" s="9"/>
    </row>
    <row r="34" spans="1:14" x14ac:dyDescent="0.25">
      <c r="A34" s="3">
        <v>40228</v>
      </c>
      <c r="B34" s="4" t="s">
        <v>0</v>
      </c>
      <c r="C34" s="4">
        <v>269.37079260000002</v>
      </c>
      <c r="D34" s="6">
        <f t="shared" si="0"/>
        <v>-4.5285370279454897E-3</v>
      </c>
      <c r="E34" s="4">
        <f t="shared" si="1"/>
        <v>2.516974826151595E-3</v>
      </c>
      <c r="F34" s="6">
        <f t="shared" si="2"/>
        <v>-7.0455118540970847E-3</v>
      </c>
      <c r="G34" s="4">
        <f t="shared" si="5"/>
        <v>1.661033276504674E-2</v>
      </c>
      <c r="H34" s="4">
        <f t="shared" si="3"/>
        <v>-0.42416440138532402</v>
      </c>
      <c r="I34" s="4">
        <f t="shared" si="4"/>
        <v>-1.0088962529059577</v>
      </c>
      <c r="K34" s="9"/>
      <c r="L34" s="9"/>
      <c r="M34" s="9"/>
      <c r="N34" s="9"/>
    </row>
    <row r="35" spans="1:14" x14ac:dyDescent="0.25">
      <c r="A35" s="3">
        <v>40231</v>
      </c>
      <c r="B35" s="4" t="s">
        <v>0</v>
      </c>
      <c r="C35" s="4">
        <v>270.38699910000003</v>
      </c>
      <c r="D35" s="6">
        <f t="shared" si="0"/>
        <v>3.772519248250561E-3</v>
      </c>
      <c r="E35" s="4">
        <f t="shared" si="1"/>
        <v>1.8101759875089973E-3</v>
      </c>
      <c r="F35" s="6">
        <f t="shared" si="2"/>
        <v>1.9623432607415638E-3</v>
      </c>
      <c r="G35" s="4">
        <f t="shared" si="5"/>
        <v>1.6661797605543222E-2</v>
      </c>
      <c r="H35" s="4">
        <f t="shared" si="3"/>
        <v>0.11777500286575987</v>
      </c>
      <c r="I35" s="4">
        <f t="shared" si="4"/>
        <v>-0.92587400885468751</v>
      </c>
      <c r="K35" s="14"/>
      <c r="L35" s="14"/>
      <c r="M35" s="14"/>
      <c r="N35" s="14"/>
    </row>
    <row r="36" spans="1:14" x14ac:dyDescent="0.25">
      <c r="A36" s="3">
        <v>40232</v>
      </c>
      <c r="B36" s="4" t="s">
        <v>0</v>
      </c>
      <c r="C36" s="4">
        <v>266.53640660000002</v>
      </c>
      <c r="D36" s="6">
        <f t="shared" si="0"/>
        <v>-1.4241041591559291E-2</v>
      </c>
      <c r="E36" s="4">
        <f t="shared" si="1"/>
        <v>1.1196884626493682E-3</v>
      </c>
      <c r="F36" s="6">
        <f t="shared" si="2"/>
        <v>-1.5360730054208658E-2</v>
      </c>
      <c r="G36" s="4">
        <f t="shared" si="5"/>
        <v>9.0351353403610342E-3</v>
      </c>
      <c r="H36" s="4">
        <f t="shared" si="3"/>
        <v>-1.7001106763271638</v>
      </c>
      <c r="I36" s="4">
        <f t="shared" si="4"/>
        <v>-2.364126689085476</v>
      </c>
      <c r="K36" s="14"/>
      <c r="L36" s="14"/>
      <c r="M36" s="14"/>
      <c r="N36" s="14"/>
    </row>
    <row r="37" spans="1:14" x14ac:dyDescent="0.25">
      <c r="A37" s="3">
        <v>40233</v>
      </c>
      <c r="B37" s="4" t="s">
        <v>0</v>
      </c>
      <c r="C37" s="4">
        <v>264.74312980000002</v>
      </c>
      <c r="D37" s="6">
        <f t="shared" si="0"/>
        <v>-6.7280744978723698E-3</v>
      </c>
      <c r="E37" s="4">
        <f t="shared" si="1"/>
        <v>5.4996399843475685E-5</v>
      </c>
      <c r="F37" s="6">
        <f t="shared" si="2"/>
        <v>-6.7830708977158457E-3</v>
      </c>
      <c r="G37" s="4">
        <f t="shared" si="5"/>
        <v>5.8758218107294716E-2</v>
      </c>
      <c r="H37" s="4">
        <f t="shared" si="3"/>
        <v>-0.11544037780944451</v>
      </c>
      <c r="I37" s="4">
        <f t="shared" si="4"/>
        <v>-0.92560177361906637</v>
      </c>
      <c r="K37" s="14"/>
      <c r="L37" s="14"/>
      <c r="M37" s="14"/>
      <c r="N37" s="14"/>
    </row>
    <row r="38" spans="1:14" x14ac:dyDescent="0.25">
      <c r="A38" s="3">
        <v>40234</v>
      </c>
      <c r="B38" s="4" t="s">
        <v>0</v>
      </c>
      <c r="C38" s="4">
        <v>262.2325361</v>
      </c>
      <c r="D38" s="6">
        <f t="shared" si="0"/>
        <v>-9.483130693123714E-3</v>
      </c>
      <c r="E38" s="4">
        <f t="shared" si="1"/>
        <v>-4.2888464293408413E-3</v>
      </c>
      <c r="F38" s="6">
        <f t="shared" si="2"/>
        <v>-5.1942842637828727E-3</v>
      </c>
      <c r="G38" s="4">
        <f t="shared" si="5"/>
        <v>2.3316309202436769E-2</v>
      </c>
      <c r="H38" s="4">
        <f t="shared" si="3"/>
        <v>-0.22277472041930299</v>
      </c>
      <c r="I38" s="4">
        <f t="shared" si="4"/>
        <v>-0.94375282123362203</v>
      </c>
    </row>
    <row r="39" spans="1:14" x14ac:dyDescent="0.25">
      <c r="A39" s="3">
        <v>40235</v>
      </c>
      <c r="B39" s="4" t="s">
        <v>0</v>
      </c>
      <c r="C39" s="4">
        <v>262.41686220000003</v>
      </c>
      <c r="D39" s="6">
        <f t="shared" si="0"/>
        <v>7.0291086964788404E-4</v>
      </c>
      <c r="E39" s="4">
        <f t="shared" si="1"/>
        <v>-6.9335432067015729E-3</v>
      </c>
      <c r="F39" s="6">
        <f t="shared" si="2"/>
        <v>7.6364540763494571E-3</v>
      </c>
      <c r="G39" s="4">
        <f t="shared" si="5"/>
        <v>1.2753807366751828E-2</v>
      </c>
      <c r="H39" s="4">
        <f t="shared" si="3"/>
        <v>0.59875877506642383</v>
      </c>
      <c r="I39" s="4">
        <f t="shared" si="4"/>
        <v>-1.0981945685641947</v>
      </c>
    </row>
    <row r="40" spans="1:14" x14ac:dyDescent="0.25">
      <c r="A40" s="3">
        <v>40238</v>
      </c>
      <c r="B40" s="4" t="s">
        <v>0</v>
      </c>
      <c r="C40" s="4">
        <v>265.35085779999997</v>
      </c>
      <c r="D40" s="6">
        <f t="shared" si="0"/>
        <v>1.1180667185037112E-2</v>
      </c>
      <c r="E40" s="4">
        <f t="shared" si="1"/>
        <v>-5.6856774181074541E-3</v>
      </c>
      <c r="F40" s="6">
        <f t="shared" si="2"/>
        <v>1.6866344603144567E-2</v>
      </c>
      <c r="G40" s="4">
        <f t="shared" si="5"/>
        <v>2.1729673452952524E-2</v>
      </c>
      <c r="H40" s="4">
        <f t="shared" si="3"/>
        <v>0.77618951060918262</v>
      </c>
      <c r="I40" s="4">
        <f t="shared" si="4"/>
        <v>-1.2201736113945338</v>
      </c>
    </row>
    <row r="41" spans="1:14" x14ac:dyDescent="0.25">
      <c r="A41" s="3">
        <v>40239</v>
      </c>
      <c r="B41" s="4" t="s">
        <v>0</v>
      </c>
      <c r="C41" s="4">
        <v>269.52023750000001</v>
      </c>
      <c r="D41" s="6">
        <f t="shared" si="0"/>
        <v>1.5712704811162048E-2</v>
      </c>
      <c r="E41" s="4">
        <f t="shared" si="1"/>
        <v>-2.6352979206878801E-3</v>
      </c>
      <c r="F41" s="6">
        <f t="shared" si="2"/>
        <v>1.834800273184993E-2</v>
      </c>
      <c r="G41" s="4">
        <f t="shared" si="5"/>
        <v>2.8382963557368079E-2</v>
      </c>
      <c r="H41" s="4">
        <f t="shared" si="3"/>
        <v>0.6464442197786946</v>
      </c>
      <c r="I41" s="4">
        <f t="shared" si="4"/>
        <v>-1.1278835978473154</v>
      </c>
    </row>
    <row r="42" spans="1:14" x14ac:dyDescent="0.25">
      <c r="A42" s="3">
        <v>40240</v>
      </c>
      <c r="B42" s="4" t="s">
        <v>0</v>
      </c>
      <c r="C42" s="4">
        <v>271.64228100000003</v>
      </c>
      <c r="D42" s="6">
        <f t="shared" si="0"/>
        <v>7.8734106191191595E-3</v>
      </c>
      <c r="E42" s="4">
        <f t="shared" si="1"/>
        <v>4.4897189644963397E-3</v>
      </c>
      <c r="F42" s="6">
        <f t="shared" si="2"/>
        <v>3.3836916546228198E-3</v>
      </c>
      <c r="G42" s="4">
        <f t="shared" si="5"/>
        <v>2.5219878602157585E-2</v>
      </c>
      <c r="H42" s="4">
        <f t="shared" si="3"/>
        <v>0.13416764243795137</v>
      </c>
      <c r="I42" s="4">
        <f t="shared" si="4"/>
        <v>-0.92793901134335166</v>
      </c>
    </row>
    <row r="43" spans="1:14" x14ac:dyDescent="0.25">
      <c r="A43" s="3">
        <v>40241</v>
      </c>
      <c r="B43" s="4" t="s">
        <v>0</v>
      </c>
      <c r="C43" s="4">
        <v>276.25999519999999</v>
      </c>
      <c r="D43" s="6">
        <f t="shared" si="0"/>
        <v>1.699924688822638E-2</v>
      </c>
      <c r="E43" s="4">
        <f t="shared" si="1"/>
        <v>9.430902023293955E-3</v>
      </c>
      <c r="F43" s="6">
        <f t="shared" si="2"/>
        <v>7.5683448649324254E-3</v>
      </c>
      <c r="G43" s="4">
        <f t="shared" si="5"/>
        <v>1.1779040286515646E-2</v>
      </c>
      <c r="H43" s="4">
        <f t="shared" si="3"/>
        <v>0.64252644365233047</v>
      </c>
      <c r="I43" s="4">
        <f t="shared" si="4"/>
        <v>-1.1253586486009284</v>
      </c>
    </row>
    <row r="44" spans="1:14" x14ac:dyDescent="0.25">
      <c r="A44" s="3">
        <v>40242</v>
      </c>
      <c r="B44" s="4" t="s">
        <v>0</v>
      </c>
      <c r="C44" s="4">
        <v>281.05202600000001</v>
      </c>
      <c r="D44" s="6">
        <f t="shared" si="0"/>
        <v>1.7346090216684477E-2</v>
      </c>
      <c r="E44" s="4">
        <f t="shared" si="1"/>
        <v>7.8222318424584839E-3</v>
      </c>
      <c r="F44" s="6">
        <f t="shared" si="2"/>
        <v>9.5238583742259936E-3</v>
      </c>
      <c r="G44" s="4">
        <f t="shared" si="5"/>
        <v>2.3084603366901543E-2</v>
      </c>
      <c r="H44" s="4">
        <f t="shared" si="3"/>
        <v>0.41256322332491102</v>
      </c>
      <c r="I44" s="4">
        <f t="shared" si="4"/>
        <v>-1.0040427398247929</v>
      </c>
    </row>
    <row r="45" spans="1:14" x14ac:dyDescent="0.25">
      <c r="A45" s="3">
        <v>40245</v>
      </c>
      <c r="B45" s="4" t="s">
        <v>0</v>
      </c>
      <c r="C45" s="4">
        <v>280.19026910000002</v>
      </c>
      <c r="D45" s="6">
        <f t="shared" si="0"/>
        <v>-3.0661828426029169E-3</v>
      </c>
      <c r="E45" s="4">
        <f t="shared" si="1"/>
        <v>8.9100551369767009E-3</v>
      </c>
      <c r="F45" s="6">
        <f t="shared" si="2"/>
        <v>-1.1976237979579618E-2</v>
      </c>
      <c r="G45" s="4">
        <f t="shared" si="5"/>
        <v>1.742395226377241E-2</v>
      </c>
      <c r="H45" s="4">
        <f t="shared" si="3"/>
        <v>-0.68734336494254589</v>
      </c>
      <c r="I45" s="4">
        <f t="shared" si="4"/>
        <v>-1.1551589838699436</v>
      </c>
    </row>
    <row r="46" spans="1:14" x14ac:dyDescent="0.25">
      <c r="A46" s="3">
        <v>40246</v>
      </c>
      <c r="B46" s="4" t="s">
        <v>0</v>
      </c>
      <c r="C46" s="4">
        <v>279.04952040000001</v>
      </c>
      <c r="D46" s="6">
        <f t="shared" si="0"/>
        <v>-4.0713358949410325E-3</v>
      </c>
      <c r="E46" s="4">
        <f t="shared" si="1"/>
        <v>1.1837045429643481E-2</v>
      </c>
      <c r="F46" s="6">
        <f t="shared" si="2"/>
        <v>-1.5908381324584515E-2</v>
      </c>
      <c r="G46" s="4">
        <f t="shared" si="5"/>
        <v>2.5047101386338848E-2</v>
      </c>
      <c r="H46" s="4">
        <f t="shared" si="3"/>
        <v>-0.63513861660899573</v>
      </c>
      <c r="I46" s="4">
        <f t="shared" si="4"/>
        <v>-1.1206390643586672</v>
      </c>
    </row>
    <row r="47" spans="1:14" x14ac:dyDescent="0.25">
      <c r="A47" s="3">
        <v>40247</v>
      </c>
      <c r="B47" s="4" t="s">
        <v>0</v>
      </c>
      <c r="C47" s="4">
        <v>287.14917389999999</v>
      </c>
      <c r="D47" s="6">
        <f t="shared" si="0"/>
        <v>2.9025864256600916E-2</v>
      </c>
      <c r="E47" s="4">
        <f t="shared" si="1"/>
        <v>4.1400590963384127E-3</v>
      </c>
      <c r="F47" s="6">
        <f t="shared" si="2"/>
        <v>2.4885805160262502E-2</v>
      </c>
      <c r="G47" s="4">
        <f t="shared" si="5"/>
        <v>2.4350482231148111E-2</v>
      </c>
      <c r="H47" s="4">
        <f t="shared" si="3"/>
        <v>1.0219840791665977</v>
      </c>
      <c r="I47" s="4">
        <f t="shared" si="4"/>
        <v>-1.4411642622396721</v>
      </c>
    </row>
    <row r="48" spans="1:14" x14ac:dyDescent="0.25">
      <c r="A48" s="3">
        <v>40248</v>
      </c>
      <c r="B48" s="4" t="s">
        <v>0</v>
      </c>
      <c r="C48" s="4">
        <v>289.4854206</v>
      </c>
      <c r="D48" s="6">
        <f t="shared" si="0"/>
        <v>8.1360035561641713E-3</v>
      </c>
      <c r="E48" s="4">
        <f t="shared" si="1"/>
        <v>-2.4948318559175659E-3</v>
      </c>
      <c r="F48" s="6">
        <f t="shared" si="2"/>
        <v>1.0630835412081737E-2</v>
      </c>
      <c r="G48" s="4">
        <f t="shared" si="5"/>
        <v>3.6681394882187413E-2</v>
      </c>
      <c r="H48" s="4">
        <f t="shared" si="3"/>
        <v>0.28981546220435855</v>
      </c>
      <c r="I48" s="4">
        <f t="shared" si="4"/>
        <v>-0.96093503427103566</v>
      </c>
    </row>
    <row r="49" spans="1:9" x14ac:dyDescent="0.25">
      <c r="A49" s="3">
        <v>40249</v>
      </c>
      <c r="B49" s="4" t="s">
        <v>0</v>
      </c>
      <c r="C49" s="4">
        <v>288.68842239999998</v>
      </c>
      <c r="D49" s="6">
        <f t="shared" si="0"/>
        <v>-2.7531548854796408E-3</v>
      </c>
      <c r="E49" s="4">
        <f t="shared" si="1"/>
        <v>9.8492917641204141E-3</v>
      </c>
      <c r="F49" s="6">
        <f t="shared" si="2"/>
        <v>-1.2602446649600054E-2</v>
      </c>
      <c r="G49" s="4">
        <f t="shared" si="5"/>
        <v>1.7891998172647319E-2</v>
      </c>
      <c r="H49" s="4">
        <f t="shared" si="3"/>
        <v>-0.70436216950134989</v>
      </c>
      <c r="I49" s="4">
        <f t="shared" si="4"/>
        <v>-1.1670015661169968</v>
      </c>
    </row>
    <row r="50" spans="1:9" x14ac:dyDescent="0.25">
      <c r="A50" s="3">
        <v>40252</v>
      </c>
      <c r="B50" s="4" t="s">
        <v>0</v>
      </c>
      <c r="C50" s="4">
        <v>280.53896359999999</v>
      </c>
      <c r="D50" s="6">
        <f t="shared" si="0"/>
        <v>-2.8229253990339417E-2</v>
      </c>
      <c r="E50" s="4">
        <f t="shared" si="1"/>
        <v>1.1999405144587281E-2</v>
      </c>
      <c r="F50" s="6">
        <f t="shared" si="2"/>
        <v>-4.0228659134926695E-2</v>
      </c>
      <c r="G50" s="4">
        <f t="shared" si="5"/>
        <v>2.5646776615183556E-2</v>
      </c>
      <c r="H50" s="4">
        <f t="shared" si="3"/>
        <v>-1.5685658957668109</v>
      </c>
      <c r="I50" s="4">
        <f t="shared" si="4"/>
        <v>-2.1491380178860418</v>
      </c>
    </row>
    <row r="51" spans="1:9" x14ac:dyDescent="0.25">
      <c r="A51" s="3">
        <v>40253</v>
      </c>
      <c r="B51" s="4" t="s">
        <v>0</v>
      </c>
      <c r="C51" s="4">
        <v>281.54519099999999</v>
      </c>
      <c r="D51" s="6">
        <f t="shared" si="0"/>
        <v>3.5867652289280801E-3</v>
      </c>
      <c r="E51" s="4">
        <f t="shared" si="1"/>
        <v>1.438630603390059E-3</v>
      </c>
      <c r="F51" s="6">
        <f t="shared" si="2"/>
        <v>2.148134625538021E-3</v>
      </c>
      <c r="G51" s="4">
        <f t="shared" si="5"/>
        <v>5.5030317732901783E-2</v>
      </c>
      <c r="H51" s="4">
        <f t="shared" si="3"/>
        <v>3.9035475607542863E-2</v>
      </c>
      <c r="I51" s="4">
        <f t="shared" si="4"/>
        <v>-0.9197004173826262</v>
      </c>
    </row>
    <row r="52" spans="1:9" x14ac:dyDescent="0.25">
      <c r="A52" s="3">
        <v>40254</v>
      </c>
      <c r="B52" s="4" t="s">
        <v>0</v>
      </c>
      <c r="C52" s="4">
        <v>281.72451239999998</v>
      </c>
      <c r="D52" s="6">
        <f t="shared" si="0"/>
        <v>6.3691871050282681E-4</v>
      </c>
      <c r="E52" s="4">
        <f t="shared" si="1"/>
        <v>-1.163454515620683E-2</v>
      </c>
      <c r="F52" s="6">
        <f t="shared" si="2"/>
        <v>1.2271463866709657E-2</v>
      </c>
      <c r="G52" s="4">
        <f t="shared" si="5"/>
        <v>2.163069464379962E-2</v>
      </c>
      <c r="H52" s="4">
        <f t="shared" si="3"/>
        <v>0.5673171420885107</v>
      </c>
      <c r="I52" s="4">
        <f t="shared" si="4"/>
        <v>-1.0798629030584104</v>
      </c>
    </row>
    <row r="53" spans="1:9" x14ac:dyDescent="0.25">
      <c r="A53" s="3">
        <v>40255</v>
      </c>
      <c r="B53" s="4" t="s">
        <v>0</v>
      </c>
      <c r="C53" s="4">
        <v>282.14294000000001</v>
      </c>
      <c r="D53" s="6">
        <f t="shared" si="0"/>
        <v>1.4852367528670521E-3</v>
      </c>
      <c r="E53" s="4">
        <f t="shared" si="1"/>
        <v>-7.2741129385952546E-3</v>
      </c>
      <c r="F53" s="6">
        <f t="shared" si="2"/>
        <v>8.7593496914623072E-3</v>
      </c>
      <c r="G53" s="4">
        <f t="shared" si="5"/>
        <v>2.1756122117356922E-2</v>
      </c>
      <c r="H53" s="4">
        <f t="shared" si="3"/>
        <v>0.40261539460996787</v>
      </c>
      <c r="I53" s="4">
        <f t="shared" si="4"/>
        <v>-0.99998811119314279</v>
      </c>
    </row>
    <row r="54" spans="1:9" x14ac:dyDescent="0.25">
      <c r="A54" s="3">
        <v>40256</v>
      </c>
      <c r="B54" s="4" t="s">
        <v>0</v>
      </c>
      <c r="C54" s="4">
        <v>278.95488510000001</v>
      </c>
      <c r="D54" s="6">
        <f t="shared" si="0"/>
        <v>-1.1299431770293446E-2</v>
      </c>
      <c r="E54" s="4">
        <f t="shared" si="1"/>
        <v>1.3419652767474206E-3</v>
      </c>
      <c r="F54" s="6">
        <f t="shared" si="2"/>
        <v>-1.2641397047040866E-2</v>
      </c>
      <c r="G54" s="4">
        <f t="shared" si="5"/>
        <v>1.6891708690951041E-2</v>
      </c>
      <c r="H54" s="4">
        <f t="shared" si="3"/>
        <v>-0.74837882172411108</v>
      </c>
      <c r="I54" s="4">
        <f t="shared" si="4"/>
        <v>-1.1989739636072572</v>
      </c>
    </row>
    <row r="55" spans="1:9" x14ac:dyDescent="0.25">
      <c r="A55" s="3">
        <v>40259</v>
      </c>
      <c r="B55" s="4" t="s">
        <v>0</v>
      </c>
      <c r="C55" s="4">
        <v>277.70955190000001</v>
      </c>
      <c r="D55" s="6">
        <f t="shared" si="0"/>
        <v>-4.4642817405888997E-3</v>
      </c>
      <c r="E55" s="4">
        <f t="shared" si="1"/>
        <v>7.626069170850007E-4</v>
      </c>
      <c r="F55" s="6">
        <f t="shared" si="2"/>
        <v>-5.2268886576739004E-3</v>
      </c>
      <c r="G55" s="4">
        <f t="shared" si="5"/>
        <v>2.6986233979098499E-2</v>
      </c>
      <c r="H55" s="4">
        <f t="shared" si="3"/>
        <v>-0.19368722074085085</v>
      </c>
      <c r="I55" s="4">
        <f t="shared" si="4"/>
        <v>-0.93769590294383021</v>
      </c>
    </row>
    <row r="56" spans="1:9" x14ac:dyDescent="0.25">
      <c r="A56" s="3">
        <v>40260</v>
      </c>
      <c r="B56" s="4" t="s">
        <v>0</v>
      </c>
      <c r="C56" s="4">
        <v>273.475414</v>
      </c>
      <c r="D56" s="6">
        <f t="shared" si="0"/>
        <v>-1.5246641215728407E-2</v>
      </c>
      <c r="E56" s="4">
        <f t="shared" si="1"/>
        <v>-3.8647701773011573E-3</v>
      </c>
      <c r="F56" s="6">
        <f t="shared" si="2"/>
        <v>-1.1381871038427249E-2</v>
      </c>
      <c r="G56" s="4">
        <f t="shared" si="5"/>
        <v>1.3238014315579793E-2</v>
      </c>
      <c r="H56" s="4">
        <f t="shared" si="3"/>
        <v>-0.85978688095479305</v>
      </c>
      <c r="I56" s="4">
        <f t="shared" si="4"/>
        <v>-1.2885552735356585</v>
      </c>
    </row>
    <row r="57" spans="1:9" x14ac:dyDescent="0.25">
      <c r="A57" s="3">
        <v>40261</v>
      </c>
      <c r="B57" s="4" t="s">
        <v>0</v>
      </c>
      <c r="C57" s="4">
        <v>277.62486580000001</v>
      </c>
      <c r="D57" s="6">
        <f t="shared" si="0"/>
        <v>1.5173034165330886E-2</v>
      </c>
      <c r="E57" s="4">
        <f t="shared" si="1"/>
        <v>-5.1673830395601601E-3</v>
      </c>
      <c r="F57" s="6">
        <f t="shared" si="2"/>
        <v>2.0340417204891048E-2</v>
      </c>
      <c r="G57" s="4">
        <f t="shared" si="5"/>
        <v>3.0396533086265703E-2</v>
      </c>
      <c r="H57" s="4">
        <f t="shared" si="3"/>
        <v>0.66916898539595671</v>
      </c>
      <c r="I57" s="4">
        <f t="shared" si="4"/>
        <v>-1.1428320987125997</v>
      </c>
    </row>
    <row r="58" spans="1:9" x14ac:dyDescent="0.25">
      <c r="A58" s="3">
        <v>40262</v>
      </c>
      <c r="B58" s="4" t="s">
        <v>0</v>
      </c>
      <c r="C58" s="4">
        <v>280.3895187</v>
      </c>
      <c r="D58" s="6">
        <f t="shared" si="0"/>
        <v>9.9582322787744593E-3</v>
      </c>
      <c r="E58" s="4">
        <f t="shared" si="1"/>
        <v>-7.1953667649109236E-3</v>
      </c>
      <c r="F58" s="6">
        <f t="shared" si="2"/>
        <v>1.7153599043685384E-2</v>
      </c>
      <c r="G58" s="4">
        <f t="shared" si="5"/>
        <v>2.6241606535312292E-2</v>
      </c>
      <c r="H58" s="4">
        <f t="shared" si="3"/>
        <v>0.65367945444203135</v>
      </c>
      <c r="I58" s="4">
        <f t="shared" si="4"/>
        <v>-1.1325869477844885</v>
      </c>
    </row>
    <row r="59" spans="1:9" x14ac:dyDescent="0.25">
      <c r="A59" s="3">
        <v>40263</v>
      </c>
      <c r="B59" s="4" t="s">
        <v>0</v>
      </c>
      <c r="C59" s="4">
        <v>280.29488350000003</v>
      </c>
      <c r="D59" s="6">
        <f t="shared" si="0"/>
        <v>-3.3751332945232025E-4</v>
      </c>
      <c r="E59" s="4">
        <f t="shared" si="1"/>
        <v>1.1312171897965885E-3</v>
      </c>
      <c r="F59" s="6">
        <f t="shared" si="2"/>
        <v>-1.4687305192489087E-3</v>
      </c>
      <c r="G59" s="4">
        <f t="shared" si="5"/>
        <v>2.5102065814685617E-2</v>
      </c>
      <c r="H59" s="4">
        <f t="shared" si="3"/>
        <v>-5.8510344530673976E-2</v>
      </c>
      <c r="I59" s="4">
        <f t="shared" si="4"/>
        <v>-0.92065026341322176</v>
      </c>
    </row>
    <row r="60" spans="1:9" x14ac:dyDescent="0.25">
      <c r="A60" s="3">
        <v>40266</v>
      </c>
      <c r="B60" s="4" t="s">
        <v>0</v>
      </c>
      <c r="C60" s="4">
        <v>280.17531559999998</v>
      </c>
      <c r="D60" s="6">
        <f t="shared" si="0"/>
        <v>-4.2657896036853475E-4</v>
      </c>
      <c r="E60" s="4">
        <f t="shared" si="1"/>
        <v>8.4535937678148661E-3</v>
      </c>
      <c r="F60" s="6">
        <f t="shared" si="2"/>
        <v>-8.8801727281834011E-3</v>
      </c>
      <c r="G60" s="4">
        <f t="shared" si="5"/>
        <v>1.0984269390037145E-2</v>
      </c>
      <c r="H60" s="4">
        <f t="shared" si="3"/>
        <v>-0.80844455037108043</v>
      </c>
      <c r="I60" s="4">
        <f t="shared" si="4"/>
        <v>-1.245729828717022</v>
      </c>
    </row>
    <row r="61" spans="1:9" x14ac:dyDescent="0.25">
      <c r="A61" s="3">
        <v>40267</v>
      </c>
      <c r="B61" s="4" t="s">
        <v>0</v>
      </c>
      <c r="C61" s="4">
        <v>282.29735920000002</v>
      </c>
      <c r="D61" s="6">
        <f t="shared" si="0"/>
        <v>7.5739848653535013E-3</v>
      </c>
      <c r="E61" s="4">
        <f t="shared" si="1"/>
        <v>2.9206978011829966E-3</v>
      </c>
      <c r="F61" s="6">
        <f t="shared" si="2"/>
        <v>4.6532870641705047E-3</v>
      </c>
      <c r="G61" s="4">
        <f t="shared" si="5"/>
        <v>2.8544208352441161E-2</v>
      </c>
      <c r="H61" s="4">
        <f t="shared" si="3"/>
        <v>0.16302035799050443</v>
      </c>
      <c r="I61" s="4">
        <f t="shared" si="4"/>
        <v>-0.93222635176434876</v>
      </c>
    </row>
    <row r="62" spans="1:9" x14ac:dyDescent="0.25">
      <c r="A62" s="3">
        <v>40268</v>
      </c>
      <c r="B62" s="4" t="s">
        <v>0</v>
      </c>
      <c r="C62" s="4">
        <v>282.50161359999998</v>
      </c>
      <c r="D62" s="6">
        <f t="shared" si="0"/>
        <v>7.2354343157443168E-4</v>
      </c>
      <c r="E62" s="4">
        <f t="shared" si="1"/>
        <v>-2.6628499405988799E-4</v>
      </c>
      <c r="F62" s="6">
        <f t="shared" si="2"/>
        <v>9.8982842563431978E-4</v>
      </c>
      <c r="G62" s="4">
        <f t="shared" si="5"/>
        <v>1.3225901888301196E-2</v>
      </c>
      <c r="H62" s="4">
        <f t="shared" si="3"/>
        <v>7.4840145798288432E-2</v>
      </c>
      <c r="I62" s="4">
        <f t="shared" si="4"/>
        <v>-0.92173905691622726</v>
      </c>
    </row>
    <row r="63" spans="1:9" x14ac:dyDescent="0.25">
      <c r="A63" s="3">
        <v>40269</v>
      </c>
      <c r="B63" s="4" t="s">
        <v>0</v>
      </c>
      <c r="C63" s="4">
        <v>283.33846790000001</v>
      </c>
      <c r="D63" s="6">
        <f t="shared" si="0"/>
        <v>2.9622991859612775E-3</v>
      </c>
      <c r="E63" s="4">
        <f t="shared" si="1"/>
        <v>2.7647507262451949E-3</v>
      </c>
      <c r="F63" s="6">
        <f t="shared" si="2"/>
        <v>1.9754845971608256E-4</v>
      </c>
      <c r="G63" s="4">
        <f t="shared" si="5"/>
        <v>7.5429293253024953E-3</v>
      </c>
      <c r="H63" s="4">
        <f t="shared" si="3"/>
        <v>2.618988607694004E-2</v>
      </c>
      <c r="I63" s="4">
        <f t="shared" si="4"/>
        <v>-0.91928148827103429</v>
      </c>
    </row>
    <row r="64" spans="1:9" x14ac:dyDescent="0.25">
      <c r="A64" s="3">
        <v>40273</v>
      </c>
      <c r="B64" s="4" t="s">
        <v>0</v>
      </c>
      <c r="C64" s="4">
        <v>284.43933060000001</v>
      </c>
      <c r="D64" s="6">
        <f t="shared" si="0"/>
        <v>3.8853273548035347E-3</v>
      </c>
      <c r="E64" s="4">
        <f t="shared" si="1"/>
        <v>2.5962044826391482E-3</v>
      </c>
      <c r="F64" s="6">
        <f t="shared" si="2"/>
        <v>1.2891228721643865E-3</v>
      </c>
      <c r="G64" s="4">
        <f t="shared" si="5"/>
        <v>5.8212966121659821E-3</v>
      </c>
      <c r="H64" s="4">
        <f t="shared" si="3"/>
        <v>0.22144943954070928</v>
      </c>
      <c r="I64" s="4">
        <f t="shared" si="4"/>
        <v>-0.9434584603411198</v>
      </c>
    </row>
    <row r="65" spans="1:9" x14ac:dyDescent="0.25">
      <c r="A65" s="3">
        <v>40274</v>
      </c>
      <c r="B65" s="4" t="s">
        <v>0</v>
      </c>
      <c r="C65" s="4">
        <v>283.0495578</v>
      </c>
      <c r="D65" s="6">
        <f t="shared" si="0"/>
        <v>-4.8860078424049101E-3</v>
      </c>
      <c r="E65" s="4">
        <f t="shared" si="1"/>
        <v>1.354089897545602E-3</v>
      </c>
      <c r="F65" s="6">
        <f t="shared" si="2"/>
        <v>-6.2400977399505123E-3</v>
      </c>
      <c r="G65" s="4">
        <f t="shared" si="5"/>
        <v>9.3637239928613704E-3</v>
      </c>
      <c r="H65" s="4">
        <f t="shared" si="3"/>
        <v>-0.66641196864706609</v>
      </c>
      <c r="I65" s="4">
        <f t="shared" si="4"/>
        <v>-1.1409909891827019</v>
      </c>
    </row>
    <row r="66" spans="1:9" x14ac:dyDescent="0.25">
      <c r="A66" s="3">
        <v>40275</v>
      </c>
      <c r="B66" s="4" t="s">
        <v>0</v>
      </c>
      <c r="C66" s="4">
        <v>280.71828549999998</v>
      </c>
      <c r="D66" s="6">
        <f t="shared" si="0"/>
        <v>-8.2362690057522607E-3</v>
      </c>
      <c r="E66" s="4">
        <f t="shared" si="1"/>
        <v>2.3923928576517271E-3</v>
      </c>
      <c r="F66" s="6">
        <f t="shared" si="2"/>
        <v>-1.0628661863403988E-2</v>
      </c>
      <c r="G66" s="4">
        <f t="shared" si="5"/>
        <v>2.3715098880937757E-2</v>
      </c>
      <c r="H66" s="4">
        <f t="shared" si="3"/>
        <v>-0.44818121639574221</v>
      </c>
      <c r="I66" s="4">
        <f t="shared" si="4"/>
        <v>-1.0193717345696562</v>
      </c>
    </row>
    <row r="67" spans="1:9" x14ac:dyDescent="0.25">
      <c r="A67" s="3">
        <v>40276</v>
      </c>
      <c r="B67" s="4" t="s">
        <v>0</v>
      </c>
      <c r="C67" s="4">
        <v>282.68590929999999</v>
      </c>
      <c r="D67" s="6">
        <f t="shared" si="0"/>
        <v>7.0092469982687066E-3</v>
      </c>
      <c r="E67" s="4">
        <f t="shared" si="1"/>
        <v>-6.7809388260861299E-4</v>
      </c>
      <c r="F67" s="6">
        <f t="shared" si="2"/>
        <v>7.6873408808773198E-3</v>
      </c>
      <c r="G67" s="4">
        <f t="shared" si="5"/>
        <v>1.8550622389163909E-2</v>
      </c>
      <c r="H67" s="4">
        <f t="shared" si="3"/>
        <v>0.4143980034528531</v>
      </c>
      <c r="I67" s="4">
        <f t="shared" si="4"/>
        <v>-1.004801385837528</v>
      </c>
    </row>
    <row r="68" spans="1:9" x14ac:dyDescent="0.25">
      <c r="A68" s="3">
        <v>40277</v>
      </c>
      <c r="B68" s="4" t="s">
        <v>0</v>
      </c>
      <c r="C68" s="4">
        <v>282.0532791</v>
      </c>
      <c r="D68" s="6">
        <f t="shared" ref="D68:D131" si="6">(C68-C67)/C67</f>
        <v>-2.2379261901187171E-3</v>
      </c>
      <c r="E68" s="4">
        <f t="shared" si="1"/>
        <v>-4.6447649925641073E-3</v>
      </c>
      <c r="F68" s="6">
        <f t="shared" si="2"/>
        <v>2.4068388024453902E-3</v>
      </c>
      <c r="G68" s="4">
        <f t="shared" si="5"/>
        <v>1.6669688033338341E-2</v>
      </c>
      <c r="H68" s="4">
        <f t="shared" si="3"/>
        <v>0.14438415389849302</v>
      </c>
      <c r="I68" s="4">
        <f t="shared" si="4"/>
        <v>-0.92936192515316463</v>
      </c>
    </row>
    <row r="69" spans="1:9" x14ac:dyDescent="0.25">
      <c r="A69" s="3">
        <v>40280</v>
      </c>
      <c r="B69" s="4" t="s">
        <v>0</v>
      </c>
      <c r="C69" s="4">
        <v>285.29614350000003</v>
      </c>
      <c r="D69" s="6">
        <f t="shared" si="6"/>
        <v>1.1497346920935089E-2</v>
      </c>
      <c r="E69" s="4">
        <f t="shared" si="1"/>
        <v>1.5706909428709215E-4</v>
      </c>
      <c r="F69" s="6">
        <f t="shared" si="2"/>
        <v>1.1340277826647996E-2</v>
      </c>
      <c r="G69" s="4">
        <f t="shared" si="5"/>
        <v>9.4824065572302815E-3</v>
      </c>
      <c r="H69" s="4">
        <f t="shared" si="3"/>
        <v>1.1959282443971038</v>
      </c>
      <c r="I69" s="4">
        <f t="shared" si="4"/>
        <v>-1.634060716078042</v>
      </c>
    </row>
    <row r="70" spans="1:9" x14ac:dyDescent="0.25">
      <c r="A70" s="3">
        <v>40281</v>
      </c>
      <c r="B70" s="4" t="s">
        <v>0</v>
      </c>
      <c r="C70" s="4">
        <v>292.28993009999999</v>
      </c>
      <c r="D70" s="6">
        <f t="shared" si="6"/>
        <v>2.4514129473327297E-2</v>
      </c>
      <c r="E70" s="4">
        <f t="shared" si="1"/>
        <v>1.2913146749332165E-3</v>
      </c>
      <c r="F70" s="6">
        <f t="shared" si="2"/>
        <v>2.3222814798394081E-2</v>
      </c>
      <c r="G70" s="4">
        <f t="shared" si="5"/>
        <v>4.1571039871743869E-2</v>
      </c>
      <c r="H70" s="4">
        <f t="shared" si="3"/>
        <v>0.55862963423676093</v>
      </c>
      <c r="I70" s="4">
        <f t="shared" si="4"/>
        <v>-1.0749720673284213</v>
      </c>
    </row>
    <row r="71" spans="1:9" x14ac:dyDescent="0.25">
      <c r="A71" s="3">
        <v>40282</v>
      </c>
      <c r="B71" s="4" t="s">
        <v>0</v>
      </c>
      <c r="C71" s="4">
        <v>293.4007719</v>
      </c>
      <c r="D71" s="6">
        <f t="shared" si="6"/>
        <v>3.8004792009767663E-3</v>
      </c>
      <c r="E71" s="4">
        <f t="shared" ref="E71:E134" si="7">+$M$16*D70+$M$17*D69+$M$18*D68</f>
        <v>3.7103172207218738E-3</v>
      </c>
      <c r="F71" s="6">
        <f t="shared" ref="F71:F134" si="8">D71-E71</f>
        <v>9.0161980254892509E-5</v>
      </c>
      <c r="G71" s="4">
        <f t="shared" si="5"/>
        <v>2.5405103364880055E-2</v>
      </c>
      <c r="H71" s="4">
        <f t="shared" ref="H71:H134" si="9">F71/G71</f>
        <v>3.5489712031454351E-3</v>
      </c>
      <c r="I71" s="4">
        <f t="shared" ref="I71:I134" si="10">LN(_xlfn.NORM.DIST(H71,0,1,FALSE))</f>
        <v>-0.91894483080297307</v>
      </c>
    </row>
    <row r="72" spans="1:9" x14ac:dyDescent="0.25">
      <c r="A72" s="3">
        <v>40283</v>
      </c>
      <c r="B72" s="4" t="s">
        <v>0</v>
      </c>
      <c r="C72" s="4">
        <v>296.53902140000002</v>
      </c>
      <c r="D72" s="6">
        <f t="shared" si="6"/>
        <v>1.0696118758234355E-2</v>
      </c>
      <c r="E72" s="4">
        <f t="shared" si="7"/>
        <v>1.2892406163987465E-2</v>
      </c>
      <c r="F72" s="6">
        <f t="shared" si="8"/>
        <v>-2.1962874057531098E-3</v>
      </c>
      <c r="G72" s="4">
        <f t="shared" ref="G72:G135" si="11">SQRT($M$12 + $M$13 *H71^2+$M$14*G71^2)</f>
        <v>1.0901999732493776E-2</v>
      </c>
      <c r="H72" s="4">
        <f t="shared" si="9"/>
        <v>-0.20145729771089624</v>
      </c>
      <c r="I72" s="4">
        <f t="shared" si="10"/>
        <v>-0.9392310546051611</v>
      </c>
    </row>
    <row r="73" spans="1:9" x14ac:dyDescent="0.25">
      <c r="A73" s="3">
        <v>40284</v>
      </c>
      <c r="B73" s="4" t="s">
        <v>0</v>
      </c>
      <c r="C73" s="4">
        <v>274.04826029999998</v>
      </c>
      <c r="D73" s="6">
        <f t="shared" si="6"/>
        <v>-7.5844187364678614E-2</v>
      </c>
      <c r="E73" s="4">
        <f t="shared" si="7"/>
        <v>8.9605645173307519E-3</v>
      </c>
      <c r="F73" s="6">
        <f t="shared" si="8"/>
        <v>-8.4804751882009366E-2</v>
      </c>
      <c r="G73" s="4">
        <f t="shared" si="11"/>
        <v>9.4904693078580443E-3</v>
      </c>
      <c r="H73" s="4">
        <f t="shared" si="9"/>
        <v>-8.9357806375066833</v>
      </c>
      <c r="I73" s="4">
        <f t="shared" si="10"/>
        <v>-40.843026334024344</v>
      </c>
    </row>
    <row r="74" spans="1:9" x14ac:dyDescent="0.25">
      <c r="A74" s="3">
        <v>40287</v>
      </c>
      <c r="B74" s="4" t="s">
        <v>0</v>
      </c>
      <c r="C74" s="4">
        <v>274.02335820000002</v>
      </c>
      <c r="D74" s="6">
        <f t="shared" si="6"/>
        <v>-9.0867571911249081E-5</v>
      </c>
      <c r="E74" s="4">
        <f t="shared" si="7"/>
        <v>5.2512921742209938E-3</v>
      </c>
      <c r="F74" s="6">
        <f t="shared" si="8"/>
        <v>-5.3421597461322428E-3</v>
      </c>
      <c r="G74" s="4">
        <f t="shared" si="11"/>
        <v>0.30724985972430319</v>
      </c>
      <c r="H74" s="4">
        <f t="shared" si="9"/>
        <v>-1.7387020944210647E-2</v>
      </c>
      <c r="I74" s="4">
        <f t="shared" si="10"/>
        <v>-0.91908968745332986</v>
      </c>
    </row>
    <row r="75" spans="1:9" x14ac:dyDescent="0.25">
      <c r="A75" s="3">
        <v>40288</v>
      </c>
      <c r="B75" s="4" t="s">
        <v>0</v>
      </c>
      <c r="C75" s="4">
        <v>276.48414700000001</v>
      </c>
      <c r="D75" s="6">
        <f t="shared" si="6"/>
        <v>8.9802154683614448E-3</v>
      </c>
      <c r="E75" s="4">
        <f t="shared" si="7"/>
        <v>-2.5717948362682739E-2</v>
      </c>
      <c r="F75" s="6">
        <f t="shared" si="8"/>
        <v>3.4698163831044182E-2</v>
      </c>
      <c r="G75" s="4">
        <f t="shared" si="11"/>
        <v>0.11739600606720324</v>
      </c>
      <c r="H75" s="4">
        <f t="shared" si="9"/>
        <v>0.29556511327294432</v>
      </c>
      <c r="I75" s="4">
        <f t="shared" si="10"/>
        <v>-0.96261790129669689</v>
      </c>
    </row>
    <row r="76" spans="1:9" x14ac:dyDescent="0.25">
      <c r="A76" s="3">
        <v>40289</v>
      </c>
      <c r="B76" s="4" t="s">
        <v>0</v>
      </c>
      <c r="C76" s="4">
        <v>276.11552469999998</v>
      </c>
      <c r="D76" s="6">
        <f t="shared" si="6"/>
        <v>-1.3332493164609066E-3</v>
      </c>
      <c r="E76" s="4">
        <f t="shared" si="7"/>
        <v>-2.3262007335765517E-2</v>
      </c>
      <c r="F76" s="6">
        <f t="shared" si="8"/>
        <v>2.192875801930461E-2</v>
      </c>
      <c r="G76" s="4">
        <f t="shared" si="11"/>
        <v>4.6220824787074746E-2</v>
      </c>
      <c r="H76" s="4">
        <f t="shared" si="9"/>
        <v>0.47443458917757775</v>
      </c>
      <c r="I76" s="4">
        <f t="shared" si="10"/>
        <v>-1.0314826229087213</v>
      </c>
    </row>
    <row r="77" spans="1:9" x14ac:dyDescent="0.25">
      <c r="A77" s="3">
        <v>40290</v>
      </c>
      <c r="B77" s="4" t="s">
        <v>0</v>
      </c>
      <c r="C77" s="4">
        <v>272.50904270000001</v>
      </c>
      <c r="D77" s="6">
        <f t="shared" si="6"/>
        <v>-1.3061496646805429E-2</v>
      </c>
      <c r="E77" s="4">
        <f t="shared" si="7"/>
        <v>3.4050946795955157E-3</v>
      </c>
      <c r="F77" s="6">
        <f t="shared" si="8"/>
        <v>-1.6466591326400944E-2</v>
      </c>
      <c r="G77" s="4">
        <f t="shared" si="11"/>
        <v>2.4538011139101784E-2</v>
      </c>
      <c r="H77" s="4">
        <f t="shared" si="9"/>
        <v>-0.67106462838632919</v>
      </c>
      <c r="I77" s="4">
        <f t="shared" si="10"/>
        <v>-1.1441024009403138</v>
      </c>
    </row>
    <row r="78" spans="1:9" x14ac:dyDescent="0.25">
      <c r="A78" s="3">
        <v>40291</v>
      </c>
      <c r="B78" s="4" t="s">
        <v>0</v>
      </c>
      <c r="C78" s="4">
        <v>271.47791310000002</v>
      </c>
      <c r="D78" s="6">
        <f t="shared" si="6"/>
        <v>-3.7838362712063708E-3</v>
      </c>
      <c r="E78" s="4">
        <f t="shared" si="7"/>
        <v>2.240276115713296E-3</v>
      </c>
      <c r="F78" s="6">
        <f t="shared" si="8"/>
        <v>-6.0241123869196663E-3</v>
      </c>
      <c r="G78" s="4">
        <f t="shared" si="11"/>
        <v>2.5391442952678832E-2</v>
      </c>
      <c r="H78" s="4">
        <f t="shared" si="9"/>
        <v>-0.23724970645215396</v>
      </c>
      <c r="I78" s="4">
        <f t="shared" si="10"/>
        <v>-0.9470822448104893</v>
      </c>
    </row>
    <row r="79" spans="1:9" x14ac:dyDescent="0.25">
      <c r="A79" s="3">
        <v>40294</v>
      </c>
      <c r="B79" s="4" t="s">
        <v>0</v>
      </c>
      <c r="C79" s="4">
        <v>264.82781629999999</v>
      </c>
      <c r="D79" s="6">
        <f t="shared" si="6"/>
        <v>-2.4495903641157127E-2</v>
      </c>
      <c r="E79" s="4">
        <f t="shared" si="7"/>
        <v>-5.4015249435417261E-3</v>
      </c>
      <c r="F79" s="6">
        <f t="shared" si="8"/>
        <v>-1.9094378697615402E-2</v>
      </c>
      <c r="G79" s="4">
        <f t="shared" si="11"/>
        <v>1.3610953893431336E-2</v>
      </c>
      <c r="H79" s="4">
        <f t="shared" si="9"/>
        <v>-1.4028685165725507</v>
      </c>
      <c r="I79" s="4">
        <f t="shared" si="10"/>
        <v>-1.9029585705999073</v>
      </c>
    </row>
    <row r="80" spans="1:9" x14ac:dyDescent="0.25">
      <c r="A80" s="3">
        <v>40295</v>
      </c>
      <c r="B80" s="4" t="s">
        <v>0</v>
      </c>
      <c r="C80" s="4">
        <v>263.54262699999998</v>
      </c>
      <c r="D80" s="6">
        <f t="shared" si="6"/>
        <v>-4.8529241299340546E-3</v>
      </c>
      <c r="E80" s="4">
        <f t="shared" si="7"/>
        <v>-5.447084131043326E-3</v>
      </c>
      <c r="F80" s="6">
        <f t="shared" si="8"/>
        <v>5.9416000110927136E-4</v>
      </c>
      <c r="G80" s="4">
        <f t="shared" si="11"/>
        <v>4.8760761493826486E-2</v>
      </c>
      <c r="H80" s="4">
        <f t="shared" si="9"/>
        <v>1.2185207591241103E-2</v>
      </c>
      <c r="I80" s="4">
        <f t="shared" si="10"/>
        <v>-0.91901277284669358</v>
      </c>
    </row>
    <row r="81" spans="1:9" x14ac:dyDescent="0.25">
      <c r="A81" s="3">
        <v>40296</v>
      </c>
      <c r="B81" s="4" t="s">
        <v>0</v>
      </c>
      <c r="C81" s="4">
        <v>263.60738579999997</v>
      </c>
      <c r="D81" s="6">
        <f t="shared" si="6"/>
        <v>2.4572419550175005E-4</v>
      </c>
      <c r="E81" s="4">
        <f t="shared" si="7"/>
        <v>-1.0523180156467807E-2</v>
      </c>
      <c r="F81" s="6">
        <f t="shared" si="8"/>
        <v>1.0768904351969557E-2</v>
      </c>
      <c r="G81" s="4">
        <f t="shared" si="11"/>
        <v>1.9272667618272461E-2</v>
      </c>
      <c r="H81" s="4">
        <f t="shared" si="9"/>
        <v>0.55876563459017647</v>
      </c>
      <c r="I81" s="4">
        <f t="shared" si="10"/>
        <v>-1.075048050404154</v>
      </c>
    </row>
    <row r="82" spans="1:9" x14ac:dyDescent="0.25">
      <c r="A82" s="3">
        <v>40297</v>
      </c>
      <c r="B82" s="4" t="s">
        <v>0</v>
      </c>
      <c r="C82" s="4">
        <v>265.00713769999999</v>
      </c>
      <c r="D82" s="6">
        <f t="shared" si="6"/>
        <v>5.3099874108307804E-3</v>
      </c>
      <c r="E82" s="4">
        <f t="shared" si="7"/>
        <v>-9.3570918011267462E-3</v>
      </c>
      <c r="F82" s="6">
        <f t="shared" si="8"/>
        <v>1.4667079211957527E-2</v>
      </c>
      <c r="G82" s="4">
        <f t="shared" si="11"/>
        <v>2.1163488210095019E-2</v>
      </c>
      <c r="H82" s="4">
        <f t="shared" si="9"/>
        <v>0.69303694487193779</v>
      </c>
      <c r="I82" s="4">
        <f t="shared" si="10"/>
        <v>-1.1590886366833875</v>
      </c>
    </row>
    <row r="83" spans="1:9" x14ac:dyDescent="0.25">
      <c r="A83" s="3">
        <v>40298</v>
      </c>
      <c r="B83" s="4" t="s">
        <v>0</v>
      </c>
      <c r="C83" s="4">
        <v>261.86888759999999</v>
      </c>
      <c r="D83" s="6">
        <f t="shared" si="6"/>
        <v>-1.1842134243012857E-2</v>
      </c>
      <c r="E83" s="4">
        <f t="shared" si="7"/>
        <v>-1.392177296457146E-3</v>
      </c>
      <c r="F83" s="6">
        <f t="shared" si="8"/>
        <v>-1.044995694655571E-2</v>
      </c>
      <c r="G83" s="4">
        <f t="shared" si="11"/>
        <v>2.5645140236094981E-2</v>
      </c>
      <c r="H83" s="4">
        <f t="shared" si="9"/>
        <v>-0.40748293245234907</v>
      </c>
      <c r="I83" s="4">
        <f t="shared" si="10"/>
        <v>-1.0019597033246554</v>
      </c>
    </row>
    <row r="84" spans="1:9" x14ac:dyDescent="0.25">
      <c r="A84" s="3">
        <v>40301</v>
      </c>
      <c r="B84" s="4" t="s">
        <v>0</v>
      </c>
      <c r="C84" s="4">
        <v>264.3097487</v>
      </c>
      <c r="D84" s="6">
        <f t="shared" si="6"/>
        <v>9.3209282033090458E-3</v>
      </c>
      <c r="E84" s="4">
        <f t="shared" si="7"/>
        <v>2.1049145649431576E-3</v>
      </c>
      <c r="F84" s="6">
        <f t="shared" si="8"/>
        <v>7.2160136383658882E-3</v>
      </c>
      <c r="G84" s="4">
        <f t="shared" si="11"/>
        <v>1.7800371417998225E-2</v>
      </c>
      <c r="H84" s="4">
        <f t="shared" si="9"/>
        <v>0.40538556577924367</v>
      </c>
      <c r="I84" s="4">
        <f t="shared" si="10"/>
        <v>-1.0011072616757515</v>
      </c>
    </row>
    <row r="85" spans="1:9" x14ac:dyDescent="0.25">
      <c r="A85" s="3">
        <v>40302</v>
      </c>
      <c r="B85" s="4" t="s">
        <v>0</v>
      </c>
      <c r="C85" s="4">
        <v>252.2399801</v>
      </c>
      <c r="D85" s="6">
        <f t="shared" si="6"/>
        <v>-4.5665241858708648E-2</v>
      </c>
      <c r="E85" s="4">
        <f t="shared" si="7"/>
        <v>-2.9006199978087593E-3</v>
      </c>
      <c r="F85" s="6">
        <f t="shared" si="8"/>
        <v>-4.2764621860899889E-2</v>
      </c>
      <c r="G85" s="4">
        <f t="shared" si="11"/>
        <v>1.6284128387291878E-2</v>
      </c>
      <c r="H85" s="4">
        <f t="shared" si="9"/>
        <v>-2.6261535676833261</v>
      </c>
      <c r="I85" s="4">
        <f t="shared" si="10"/>
        <v>-4.3672798137326039</v>
      </c>
    </row>
    <row r="86" spans="1:9" x14ac:dyDescent="0.25">
      <c r="A86" s="3">
        <v>40303</v>
      </c>
      <c r="B86" s="4" t="s">
        <v>0</v>
      </c>
      <c r="C86" s="4">
        <v>253.92864259999999</v>
      </c>
      <c r="D86" s="6">
        <f t="shared" si="6"/>
        <v>6.6946663226445146E-3</v>
      </c>
      <c r="E86" s="4">
        <f t="shared" si="7"/>
        <v>-6.4395982108971916E-5</v>
      </c>
      <c r="F86" s="6">
        <f t="shared" si="8"/>
        <v>6.759062304753486E-3</v>
      </c>
      <c r="G86" s="4">
        <f t="shared" si="11"/>
        <v>9.0630714968337286E-2</v>
      </c>
      <c r="H86" s="4">
        <f t="shared" si="9"/>
        <v>7.457805344595185E-2</v>
      </c>
      <c r="I86" s="4">
        <f t="shared" si="10"/>
        <v>-0.92171947623256634</v>
      </c>
    </row>
    <row r="87" spans="1:9" x14ac:dyDescent="0.25">
      <c r="A87" s="3">
        <v>40304</v>
      </c>
      <c r="B87" s="4" t="s">
        <v>0</v>
      </c>
      <c r="C87" s="4">
        <v>248.40434149999999</v>
      </c>
      <c r="D87" s="6">
        <f t="shared" si="6"/>
        <v>-2.1755328754708991E-2</v>
      </c>
      <c r="E87" s="4">
        <f t="shared" si="7"/>
        <v>-1.4602184136165399E-2</v>
      </c>
      <c r="F87" s="6">
        <f t="shared" si="8"/>
        <v>-7.1531446185435915E-3</v>
      </c>
      <c r="G87" s="4">
        <f t="shared" si="11"/>
        <v>3.5047435088885678E-2</v>
      </c>
      <c r="H87" s="4">
        <f t="shared" si="9"/>
        <v>-0.20409894762347425</v>
      </c>
      <c r="I87" s="4">
        <f t="shared" si="10"/>
        <v>-0.93976672341517742</v>
      </c>
    </row>
    <row r="88" spans="1:9" x14ac:dyDescent="0.25">
      <c r="A88" s="3">
        <v>40305</v>
      </c>
      <c r="B88" s="4" t="s">
        <v>0</v>
      </c>
      <c r="C88" s="4">
        <v>245.64966720000001</v>
      </c>
      <c r="D88" s="6">
        <f t="shared" si="6"/>
        <v>-1.1089477274695607E-2</v>
      </c>
      <c r="E88" s="4">
        <f t="shared" si="7"/>
        <v>-1.1426284644614548E-2</v>
      </c>
      <c r="F88" s="6">
        <f t="shared" si="8"/>
        <v>3.368073699189407E-4</v>
      </c>
      <c r="G88" s="4">
        <f t="shared" si="11"/>
        <v>1.5906321692225358E-2</v>
      </c>
      <c r="H88" s="4">
        <f t="shared" si="9"/>
        <v>2.1174434695581716E-2</v>
      </c>
      <c r="I88" s="4">
        <f t="shared" si="10"/>
        <v>-0.91916271154701146</v>
      </c>
    </row>
    <row r="89" spans="1:9" x14ac:dyDescent="0.25">
      <c r="A89" s="3">
        <v>40308</v>
      </c>
      <c r="B89" s="4" t="s">
        <v>0</v>
      </c>
      <c r="C89" s="4">
        <v>259.85145890000001</v>
      </c>
      <c r="D89" s="6">
        <f t="shared" si="6"/>
        <v>5.7813193324774026E-2</v>
      </c>
      <c r="E89" s="4">
        <f t="shared" si="7"/>
        <v>-6.2665754669907099E-3</v>
      </c>
      <c r="F89" s="6">
        <f t="shared" si="8"/>
        <v>6.4079768791764732E-2</v>
      </c>
      <c r="G89" s="4">
        <f t="shared" si="11"/>
        <v>7.88577205866502E-3</v>
      </c>
      <c r="H89" s="4">
        <f t="shared" si="9"/>
        <v>8.1259981032995743</v>
      </c>
      <c r="I89" s="4">
        <f t="shared" si="10"/>
        <v>-33.934861120618812</v>
      </c>
    </row>
    <row r="90" spans="1:9" x14ac:dyDescent="0.25">
      <c r="A90" s="3">
        <v>40309</v>
      </c>
      <c r="B90" s="4" t="s">
        <v>0</v>
      </c>
      <c r="C90" s="4">
        <v>253.57497369999999</v>
      </c>
      <c r="D90" s="6">
        <f t="shared" si="6"/>
        <v>-2.4154127233187623E-2</v>
      </c>
      <c r="E90" s="4">
        <f t="shared" si="7"/>
        <v>-1.0900737976538823E-2</v>
      </c>
      <c r="F90" s="6">
        <f t="shared" si="8"/>
        <v>-1.32533892566488E-2</v>
      </c>
      <c r="G90" s="4">
        <f t="shared" si="11"/>
        <v>0.2794105853291256</v>
      </c>
      <c r="H90" s="4">
        <f t="shared" si="9"/>
        <v>-4.7433382815605427E-2</v>
      </c>
      <c r="I90" s="4">
        <f t="shared" si="10"/>
        <v>-0.92006349610733862</v>
      </c>
    </row>
    <row r="91" spans="1:9" x14ac:dyDescent="0.25">
      <c r="A91" s="3">
        <v>40310</v>
      </c>
      <c r="B91" s="4" t="s">
        <v>0</v>
      </c>
      <c r="C91" s="4">
        <v>251.7518049</v>
      </c>
      <c r="D91" s="6">
        <f t="shared" si="6"/>
        <v>-7.1898609448618105E-3</v>
      </c>
      <c r="E91" s="4">
        <f t="shared" si="7"/>
        <v>1.8704122256372246E-2</v>
      </c>
      <c r="F91" s="6">
        <f t="shared" si="8"/>
        <v>-2.5893983201234056E-2</v>
      </c>
      <c r="G91" s="4">
        <f t="shared" si="11"/>
        <v>0.10679014460310518</v>
      </c>
      <c r="H91" s="4">
        <f t="shared" si="9"/>
        <v>-0.24247540161567613</v>
      </c>
      <c r="I91" s="4">
        <f t="shared" si="10"/>
        <v>-0.94833569339901447</v>
      </c>
    </row>
    <row r="92" spans="1:9" x14ac:dyDescent="0.25">
      <c r="A92" s="3">
        <v>40311</v>
      </c>
      <c r="B92" s="4" t="s">
        <v>0</v>
      </c>
      <c r="C92" s="4">
        <v>254.48656639999999</v>
      </c>
      <c r="D92" s="6">
        <f t="shared" si="6"/>
        <v>1.0862927084420639E-2</v>
      </c>
      <c r="E92" s="4">
        <f t="shared" si="7"/>
        <v>8.4716536961177268E-3</v>
      </c>
      <c r="F92" s="6">
        <f t="shared" si="8"/>
        <v>2.3912733883029117E-3</v>
      </c>
      <c r="G92" s="4">
        <f t="shared" si="11"/>
        <v>4.1906107078898747E-2</v>
      </c>
      <c r="H92" s="4">
        <f t="shared" si="9"/>
        <v>5.7062646830943767E-2</v>
      </c>
      <c r="I92" s="4">
        <f t="shared" si="10"/>
        <v>-0.9205666060363491</v>
      </c>
    </row>
    <row r="93" spans="1:9" x14ac:dyDescent="0.25">
      <c r="A93" s="3">
        <v>40312</v>
      </c>
      <c r="B93" s="4" t="s">
        <v>0</v>
      </c>
      <c r="C93" s="4">
        <v>252.8178163</v>
      </c>
      <c r="D93" s="6">
        <f t="shared" si="6"/>
        <v>-6.5573209761377125E-3</v>
      </c>
      <c r="E93" s="4">
        <f t="shared" si="7"/>
        <v>-1.0145572050886455E-2</v>
      </c>
      <c r="F93" s="6">
        <f t="shared" si="8"/>
        <v>3.5882510747487426E-3</v>
      </c>
      <c r="G93" s="4">
        <f t="shared" si="11"/>
        <v>1.6868388200770128E-2</v>
      </c>
      <c r="H93" s="4">
        <f t="shared" si="9"/>
        <v>0.21272044679318683</v>
      </c>
      <c r="I93" s="4">
        <f t="shared" si="10"/>
        <v>-0.94156352744661931</v>
      </c>
    </row>
    <row r="94" spans="1:9" x14ac:dyDescent="0.25">
      <c r="A94" s="3">
        <v>40315</v>
      </c>
      <c r="B94" s="4" t="s">
        <v>0</v>
      </c>
      <c r="C94" s="4">
        <v>253.03699370000001</v>
      </c>
      <c r="D94" s="6">
        <f t="shared" si="6"/>
        <v>8.6693811064298245E-4</v>
      </c>
      <c r="E94" s="4">
        <f t="shared" si="7"/>
        <v>1.9506292959531068E-3</v>
      </c>
      <c r="F94" s="6">
        <f t="shared" si="8"/>
        <v>-1.0836911853101244E-3</v>
      </c>
      <c r="G94" s="4">
        <f t="shared" si="11"/>
        <v>1.0941976264802419E-2</v>
      </c>
      <c r="H94" s="4">
        <f t="shared" si="9"/>
        <v>-9.9039804061363756E-2</v>
      </c>
      <c r="I94" s="4">
        <f t="shared" si="10"/>
        <v>-0.92384297459892928</v>
      </c>
    </row>
    <row r="95" spans="1:9" x14ac:dyDescent="0.25">
      <c r="A95" s="3">
        <v>40316</v>
      </c>
      <c r="B95" s="4" t="s">
        <v>0</v>
      </c>
      <c r="C95" s="4">
        <v>248.25491160000001</v>
      </c>
      <c r="D95" s="6">
        <f t="shared" si="6"/>
        <v>-1.8898746898920325E-2</v>
      </c>
      <c r="E95" s="4">
        <f t="shared" si="7"/>
        <v>8.2008525882117187E-4</v>
      </c>
      <c r="F95" s="6">
        <f t="shared" si="8"/>
        <v>-1.9718832157741496E-2</v>
      </c>
      <c r="G95" s="4">
        <f t="shared" si="11"/>
        <v>7.3365521750397627E-3</v>
      </c>
      <c r="H95" s="4">
        <f t="shared" si="9"/>
        <v>-2.6877519149701437</v>
      </c>
      <c r="I95" s="4">
        <f t="shared" si="10"/>
        <v>-4.5309437114175095</v>
      </c>
    </row>
    <row r="96" spans="1:9" x14ac:dyDescent="0.25">
      <c r="A96" s="3">
        <v>40317</v>
      </c>
      <c r="B96" s="4" t="s">
        <v>0</v>
      </c>
      <c r="C96" s="4">
        <v>246.29226209999999</v>
      </c>
      <c r="D96" s="6">
        <f t="shared" si="6"/>
        <v>-7.9057831619554798E-3</v>
      </c>
      <c r="E96" s="4">
        <f t="shared" si="7"/>
        <v>-1.6771596098086694E-3</v>
      </c>
      <c r="F96" s="6">
        <f t="shared" si="8"/>
        <v>-6.22862355214681E-3</v>
      </c>
      <c r="G96" s="4">
        <f t="shared" si="11"/>
        <v>9.2574100359660377E-2</v>
      </c>
      <c r="H96" s="4">
        <f t="shared" si="9"/>
        <v>-6.7282571777073016E-2</v>
      </c>
      <c r="I96" s="4">
        <f t="shared" si="10"/>
        <v>-0.92120200543714104</v>
      </c>
    </row>
    <row r="97" spans="1:9" x14ac:dyDescent="0.25">
      <c r="A97" s="3">
        <v>40318</v>
      </c>
      <c r="B97" s="4" t="s">
        <v>0</v>
      </c>
      <c r="C97" s="4">
        <v>236.61850870000001</v>
      </c>
      <c r="D97" s="6">
        <f t="shared" si="6"/>
        <v>-3.9277536847959225E-2</v>
      </c>
      <c r="E97" s="4">
        <f t="shared" si="7"/>
        <v>-6.95925457349346E-3</v>
      </c>
      <c r="F97" s="6">
        <f t="shared" si="8"/>
        <v>-3.2318282274465766E-2</v>
      </c>
      <c r="G97" s="4">
        <f t="shared" si="11"/>
        <v>3.5762867993405868E-2</v>
      </c>
      <c r="H97" s="4">
        <f t="shared" si="9"/>
        <v>-0.90368262076813211</v>
      </c>
      <c r="I97" s="4">
        <f t="shared" si="10"/>
        <v>-1.3272596727438526</v>
      </c>
    </row>
    <row r="98" spans="1:9" x14ac:dyDescent="0.25">
      <c r="A98" s="3">
        <v>40319</v>
      </c>
      <c r="B98" s="4" t="s">
        <v>0</v>
      </c>
      <c r="C98" s="4">
        <v>235.14403390000001</v>
      </c>
      <c r="D98" s="6">
        <f t="shared" si="6"/>
        <v>-6.2314432125401857E-3</v>
      </c>
      <c r="E98" s="4">
        <f t="shared" si="7"/>
        <v>-8.8107851989986993E-3</v>
      </c>
      <c r="F98" s="6">
        <f t="shared" si="8"/>
        <v>2.5793419864585136E-3</v>
      </c>
      <c r="G98" s="4">
        <f t="shared" si="11"/>
        <v>3.4296817450080751E-2</v>
      </c>
      <c r="H98" s="4">
        <f t="shared" si="9"/>
        <v>7.5206452908138294E-2</v>
      </c>
      <c r="I98" s="4">
        <f t="shared" si="10"/>
        <v>-0.92176653848418466</v>
      </c>
    </row>
    <row r="99" spans="1:9" x14ac:dyDescent="0.25">
      <c r="A99" s="3">
        <v>40322</v>
      </c>
      <c r="B99" s="4" t="s">
        <v>0</v>
      </c>
      <c r="C99" s="4">
        <v>237.6894944</v>
      </c>
      <c r="D99" s="6">
        <f t="shared" si="6"/>
        <v>1.0825111986819539E-2</v>
      </c>
      <c r="E99" s="4">
        <f t="shared" si="7"/>
        <v>-1.743627425205618E-2</v>
      </c>
      <c r="F99" s="6">
        <f t="shared" si="8"/>
        <v>2.8261386238875717E-2</v>
      </c>
      <c r="G99" s="4">
        <f t="shared" si="11"/>
        <v>1.4243622043383837E-2</v>
      </c>
      <c r="H99" s="4">
        <f t="shared" si="9"/>
        <v>1.9841432293552841</v>
      </c>
      <c r="I99" s="4">
        <f t="shared" si="10"/>
        <v>-2.8873507105028802</v>
      </c>
    </row>
    <row r="100" spans="1:9" x14ac:dyDescent="0.25">
      <c r="A100" s="3">
        <v>40323</v>
      </c>
      <c r="B100" s="4" t="s">
        <v>0</v>
      </c>
      <c r="C100" s="4">
        <v>237.64466400000001</v>
      </c>
      <c r="D100" s="6">
        <f t="shared" si="6"/>
        <v>-1.8860909319177318E-4</v>
      </c>
      <c r="E100" s="4">
        <f t="shared" si="7"/>
        <v>-1.4410767276075067E-2</v>
      </c>
      <c r="F100" s="6">
        <f t="shared" si="8"/>
        <v>1.4222158182883294E-2</v>
      </c>
      <c r="G100" s="4">
        <f t="shared" si="11"/>
        <v>6.8606770482676452E-2</v>
      </c>
      <c r="H100" s="4">
        <f t="shared" si="9"/>
        <v>0.20729963067529114</v>
      </c>
      <c r="I100" s="4">
        <f t="shared" si="10"/>
        <v>-0.94042510164372872</v>
      </c>
    </row>
    <row r="101" spans="1:9" x14ac:dyDescent="0.25">
      <c r="A101" s="3">
        <v>40324</v>
      </c>
      <c r="B101" s="4" t="s">
        <v>0</v>
      </c>
      <c r="C101" s="4">
        <v>236.84765039999999</v>
      </c>
      <c r="D101" s="6">
        <f t="shared" si="6"/>
        <v>-3.3538038960555573E-3</v>
      </c>
      <c r="E101" s="4">
        <f t="shared" si="7"/>
        <v>2.2298182958322603E-3</v>
      </c>
      <c r="F101" s="6">
        <f t="shared" si="8"/>
        <v>-5.583622191887818E-3</v>
      </c>
      <c r="G101" s="4">
        <f t="shared" si="11"/>
        <v>2.7594868987659626E-2</v>
      </c>
      <c r="H101" s="4">
        <f t="shared" si="9"/>
        <v>-0.20234276866416012</v>
      </c>
      <c r="I101" s="4">
        <f t="shared" si="10"/>
        <v>-0.93940983122001165</v>
      </c>
    </row>
    <row r="102" spans="1:9" x14ac:dyDescent="0.25">
      <c r="A102" s="3">
        <v>40325</v>
      </c>
      <c r="B102" s="4" t="s">
        <v>0</v>
      </c>
      <c r="C102" s="4">
        <v>244.31467359999999</v>
      </c>
      <c r="D102" s="6">
        <f t="shared" si="6"/>
        <v>3.1526693160727252E-2</v>
      </c>
      <c r="E102" s="4">
        <f t="shared" si="7"/>
        <v>3.2430460793858086E-3</v>
      </c>
      <c r="F102" s="6">
        <f t="shared" si="8"/>
        <v>2.8283647081341443E-2</v>
      </c>
      <c r="G102" s="4">
        <f t="shared" si="11"/>
        <v>1.3569708944276896E-2</v>
      </c>
      <c r="H102" s="4">
        <f t="shared" si="9"/>
        <v>2.0843223091583138</v>
      </c>
      <c r="I102" s="4">
        <f t="shared" si="10"/>
        <v>-3.0911382774321954</v>
      </c>
    </row>
    <row r="103" spans="1:9" x14ac:dyDescent="0.25">
      <c r="A103" s="3">
        <v>40326</v>
      </c>
      <c r="B103" s="4" t="s">
        <v>0</v>
      </c>
      <c r="C103" s="4">
        <v>241.90867890000001</v>
      </c>
      <c r="D103" s="6">
        <f t="shared" si="6"/>
        <v>-9.8479336690973918E-3</v>
      </c>
      <c r="E103" s="4">
        <f t="shared" si="7"/>
        <v>-1.3392209418255265E-3</v>
      </c>
      <c r="F103" s="6">
        <f t="shared" si="8"/>
        <v>-8.5087127272718659E-3</v>
      </c>
      <c r="G103" s="4">
        <f t="shared" si="11"/>
        <v>7.2012705779840952E-2</v>
      </c>
      <c r="H103" s="4">
        <f t="shared" si="9"/>
        <v>-0.11815571481628416</v>
      </c>
      <c r="I103" s="4">
        <f t="shared" si="10"/>
        <v>-0.92591891967654616</v>
      </c>
    </row>
    <row r="104" spans="1:9" x14ac:dyDescent="0.25">
      <c r="A104" s="3">
        <v>40330</v>
      </c>
      <c r="B104" s="4" t="s">
        <v>0</v>
      </c>
      <c r="C104" s="4">
        <v>240.28477470000001</v>
      </c>
      <c r="D104" s="6">
        <f t="shared" si="6"/>
        <v>-6.712881106143721E-3</v>
      </c>
      <c r="E104" s="4">
        <f t="shared" si="7"/>
        <v>1.1024692760649525E-2</v>
      </c>
      <c r="F104" s="6">
        <f t="shared" si="8"/>
        <v>-1.7737573866793248E-2</v>
      </c>
      <c r="G104" s="4">
        <f t="shared" si="11"/>
        <v>2.823088772931941E-2</v>
      </c>
      <c r="H104" s="4">
        <f t="shared" si="9"/>
        <v>-0.62830379394593927</v>
      </c>
      <c r="I104" s="4">
        <f t="shared" si="10"/>
        <v>-1.1163213619481034</v>
      </c>
    </row>
    <row r="105" spans="1:9" x14ac:dyDescent="0.25">
      <c r="A105" s="3">
        <v>40331</v>
      </c>
      <c r="B105" s="4" t="s">
        <v>0</v>
      </c>
      <c r="C105" s="4">
        <v>245.7642458</v>
      </c>
      <c r="D105" s="6">
        <f t="shared" si="6"/>
        <v>2.2804071156157124E-2</v>
      </c>
      <c r="E105" s="4">
        <f t="shared" si="7"/>
        <v>5.8903248886031916E-3</v>
      </c>
      <c r="F105" s="6">
        <f t="shared" si="8"/>
        <v>1.6913746267553931E-2</v>
      </c>
      <c r="G105" s="4">
        <f t="shared" si="11"/>
        <v>2.4646686507987559E-2</v>
      </c>
      <c r="H105" s="4">
        <f t="shared" si="9"/>
        <v>0.68624828177501596</v>
      </c>
      <c r="I105" s="4">
        <f t="shared" si="10"/>
        <v>-1.1544068853242535</v>
      </c>
    </row>
    <row r="106" spans="1:9" x14ac:dyDescent="0.25">
      <c r="A106" s="3">
        <v>40332</v>
      </c>
      <c r="B106" s="4" t="s">
        <v>0</v>
      </c>
      <c r="C106" s="4">
        <v>251.8564193</v>
      </c>
      <c r="D106" s="6">
        <f t="shared" si="6"/>
        <v>2.4788689177178927E-2</v>
      </c>
      <c r="E106" s="4">
        <f t="shared" si="7"/>
        <v>-5.5816903209065533E-3</v>
      </c>
      <c r="F106" s="6">
        <f t="shared" si="8"/>
        <v>3.0370379498085479E-2</v>
      </c>
      <c r="G106" s="4">
        <f t="shared" si="11"/>
        <v>2.5881653146228631E-2</v>
      </c>
      <c r="H106" s="4">
        <f t="shared" si="9"/>
        <v>1.1734327527880857</v>
      </c>
      <c r="I106" s="4">
        <f t="shared" si="10"/>
        <v>-1.607410745862585</v>
      </c>
    </row>
    <row r="107" spans="1:9" x14ac:dyDescent="0.25">
      <c r="A107" s="3">
        <v>40333</v>
      </c>
      <c r="B107" s="4" t="s">
        <v>0</v>
      </c>
      <c r="C107" s="4">
        <v>248.4292591</v>
      </c>
      <c r="D107" s="6">
        <f t="shared" si="6"/>
        <v>-1.3607595190646003E-2</v>
      </c>
      <c r="E107" s="4">
        <f t="shared" si="7"/>
        <v>6.662183559690919E-3</v>
      </c>
      <c r="F107" s="6">
        <f t="shared" si="8"/>
        <v>-2.026977875033692E-2</v>
      </c>
      <c r="G107" s="4">
        <f t="shared" si="11"/>
        <v>4.1829093636957797E-2</v>
      </c>
      <c r="H107" s="4">
        <f t="shared" si="9"/>
        <v>-0.48458565529203101</v>
      </c>
      <c r="I107" s="4">
        <f t="shared" si="10"/>
        <v>-1.0363501618620763</v>
      </c>
    </row>
    <row r="108" spans="1:9" x14ac:dyDescent="0.25">
      <c r="A108" s="3">
        <v>40336</v>
      </c>
      <c r="B108" s="4" t="s">
        <v>0</v>
      </c>
      <c r="C108" s="4">
        <v>241.8538848</v>
      </c>
      <c r="D108" s="6">
        <f t="shared" si="6"/>
        <v>-2.6467793382393873E-2</v>
      </c>
      <c r="E108" s="4">
        <f t="shared" si="7"/>
        <v>1.6459725777629632E-2</v>
      </c>
      <c r="F108" s="6">
        <f t="shared" si="8"/>
        <v>-4.2927519160023506E-2</v>
      </c>
      <c r="G108" s="4">
        <f t="shared" si="11"/>
        <v>2.3606540920947671E-2</v>
      </c>
      <c r="H108" s="4">
        <f t="shared" si="9"/>
        <v>-1.8184586765073671</v>
      </c>
      <c r="I108" s="4">
        <f t="shared" si="10"/>
        <v>-2.5723345122871355</v>
      </c>
    </row>
    <row r="109" spans="1:9" x14ac:dyDescent="0.25">
      <c r="A109" s="3">
        <v>40337</v>
      </c>
      <c r="B109" s="4" t="s">
        <v>0</v>
      </c>
      <c r="C109" s="4">
        <v>241.48526200000001</v>
      </c>
      <c r="D109" s="6">
        <f t="shared" si="6"/>
        <v>-1.5241549678014399E-3</v>
      </c>
      <c r="E109" s="4">
        <f t="shared" si="7"/>
        <v>2.3891606988887615E-3</v>
      </c>
      <c r="F109" s="6">
        <f t="shared" si="8"/>
        <v>-3.9133156666902019E-3</v>
      </c>
      <c r="G109" s="4">
        <f t="shared" si="11"/>
        <v>6.335581641247752E-2</v>
      </c>
      <c r="H109" s="4">
        <f t="shared" si="9"/>
        <v>-6.1767267605117616E-2</v>
      </c>
      <c r="I109" s="4">
        <f t="shared" si="10"/>
        <v>-0.92084613087837386</v>
      </c>
    </row>
    <row r="110" spans="1:9" x14ac:dyDescent="0.25">
      <c r="A110" s="3">
        <v>40338</v>
      </c>
      <c r="B110" s="4" t="s">
        <v>0</v>
      </c>
      <c r="C110" s="4">
        <v>236.1253437</v>
      </c>
      <c r="D110" s="6">
        <f t="shared" si="6"/>
        <v>-2.2195633205971815E-2</v>
      </c>
      <c r="E110" s="4">
        <f t="shared" si="7"/>
        <v>-1.4285473947772423E-2</v>
      </c>
      <c r="F110" s="6">
        <f t="shared" si="8"/>
        <v>-7.9101592581993924E-3</v>
      </c>
      <c r="G110" s="4">
        <f t="shared" si="11"/>
        <v>2.4783536629335474E-2</v>
      </c>
      <c r="H110" s="4">
        <f t="shared" si="9"/>
        <v>-0.3191699141451988</v>
      </c>
      <c r="I110" s="4">
        <f t="shared" si="10"/>
        <v>-0.96987325025239957</v>
      </c>
    </row>
    <row r="111" spans="1:9" x14ac:dyDescent="0.25">
      <c r="A111" s="3">
        <v>40339</v>
      </c>
      <c r="B111" s="4" t="s">
        <v>0</v>
      </c>
      <c r="C111" s="4">
        <v>242.59610369999999</v>
      </c>
      <c r="D111" s="6">
        <f t="shared" si="6"/>
        <v>2.7403919878338685E-2</v>
      </c>
      <c r="E111" s="4">
        <f t="shared" si="7"/>
        <v>-8.6889169571350011E-3</v>
      </c>
      <c r="F111" s="6">
        <f t="shared" si="8"/>
        <v>3.6092836835473686E-2</v>
      </c>
      <c r="G111" s="4">
        <f t="shared" si="11"/>
        <v>1.53193362243492E-2</v>
      </c>
      <c r="H111" s="4">
        <f t="shared" si="9"/>
        <v>2.3560313780505848</v>
      </c>
      <c r="I111" s="4">
        <f t="shared" si="10"/>
        <v>-3.6943804603841417</v>
      </c>
    </row>
    <row r="112" spans="1:9" x14ac:dyDescent="0.25">
      <c r="A112" s="3">
        <v>40340</v>
      </c>
      <c r="B112" s="4" t="s">
        <v>0</v>
      </c>
      <c r="C112" s="4">
        <v>243.33832319999999</v>
      </c>
      <c r="D112" s="6">
        <f t="shared" si="6"/>
        <v>3.0594864825935148E-3</v>
      </c>
      <c r="E112" s="4">
        <f t="shared" si="7"/>
        <v>-8.9511570358703028E-3</v>
      </c>
      <c r="F112" s="6">
        <f t="shared" si="8"/>
        <v>1.2010643518463818E-2</v>
      </c>
      <c r="G112" s="4">
        <f t="shared" si="11"/>
        <v>8.1357350625425859E-2</v>
      </c>
      <c r="H112" s="4">
        <f t="shared" si="9"/>
        <v>0.14762825271635927</v>
      </c>
      <c r="I112" s="4">
        <f t="shared" si="10"/>
        <v>-0.92983558370471531</v>
      </c>
    </row>
    <row r="113" spans="1:9" x14ac:dyDescent="0.25">
      <c r="A113" s="3">
        <v>40343</v>
      </c>
      <c r="B113" s="4" t="s">
        <v>0</v>
      </c>
      <c r="C113" s="4">
        <v>240.6932382</v>
      </c>
      <c r="D113" s="6">
        <f t="shared" si="6"/>
        <v>-1.0869989425488055E-2</v>
      </c>
      <c r="E113" s="4">
        <f t="shared" si="7"/>
        <v>3.6785484611092717E-3</v>
      </c>
      <c r="F113" s="6">
        <f t="shared" si="8"/>
        <v>-1.4548537886597327E-2</v>
      </c>
      <c r="G113" s="4">
        <f t="shared" si="11"/>
        <v>3.1860477473562028E-2</v>
      </c>
      <c r="H113" s="4">
        <f t="shared" si="9"/>
        <v>-0.45663276385828716</v>
      </c>
      <c r="I113" s="4">
        <f t="shared" si="10"/>
        <v>-1.0231952737191019</v>
      </c>
    </row>
    <row r="114" spans="1:9" x14ac:dyDescent="0.25">
      <c r="A114" s="3">
        <v>40344</v>
      </c>
      <c r="B114" s="4" t="s">
        <v>0</v>
      </c>
      <c r="C114" s="4">
        <v>248.06561070000001</v>
      </c>
      <c r="D114" s="6">
        <f t="shared" si="6"/>
        <v>3.0629744961402125E-2</v>
      </c>
      <c r="E114" s="4">
        <f t="shared" si="7"/>
        <v>9.5618717799108455E-3</v>
      </c>
      <c r="F114" s="6">
        <f t="shared" si="8"/>
        <v>2.1067873181491281E-2</v>
      </c>
      <c r="G114" s="4">
        <f t="shared" si="11"/>
        <v>2.0472657756850865E-2</v>
      </c>
      <c r="H114" s="4">
        <f t="shared" si="9"/>
        <v>1.0290736763008328</v>
      </c>
      <c r="I114" s="4">
        <f t="shared" si="10"/>
        <v>-1.4484348488323284</v>
      </c>
    </row>
    <row r="115" spans="1:9" x14ac:dyDescent="0.25">
      <c r="A115" s="3">
        <v>40345</v>
      </c>
      <c r="B115" s="4" t="s">
        <v>0</v>
      </c>
      <c r="C115" s="4">
        <v>249.69949449999999</v>
      </c>
      <c r="D115" s="6">
        <f t="shared" si="6"/>
        <v>6.5864986097404999E-3</v>
      </c>
      <c r="E115" s="4">
        <f t="shared" si="7"/>
        <v>-3.2177839462869283E-3</v>
      </c>
      <c r="F115" s="6">
        <f t="shared" si="8"/>
        <v>9.8042825560274282E-3</v>
      </c>
      <c r="G115" s="4">
        <f t="shared" si="11"/>
        <v>3.6570211041965076E-2</v>
      </c>
      <c r="H115" s="4">
        <f t="shared" si="9"/>
        <v>0.2680947765047571</v>
      </c>
      <c r="I115" s="4">
        <f t="shared" si="10"/>
        <v>-0.95487593779924052</v>
      </c>
    </row>
    <row r="116" spans="1:9" x14ac:dyDescent="0.25">
      <c r="A116" s="3">
        <v>40346</v>
      </c>
      <c r="B116" s="4" t="s">
        <v>0</v>
      </c>
      <c r="C116" s="4">
        <v>249.1067199</v>
      </c>
      <c r="D116" s="6">
        <f t="shared" si="6"/>
        <v>-2.3739519424617189E-3</v>
      </c>
      <c r="E116" s="4">
        <f t="shared" si="7"/>
        <v>8.3802883509593081E-3</v>
      </c>
      <c r="F116" s="6">
        <f t="shared" si="8"/>
        <v>-1.0754240293421027E-2</v>
      </c>
      <c r="G116" s="4">
        <f t="shared" si="11"/>
        <v>1.7453237179982525E-2</v>
      </c>
      <c r="H116" s="4">
        <f t="shared" si="9"/>
        <v>-0.61617453441561465</v>
      </c>
      <c r="I116" s="4">
        <f t="shared" si="10"/>
        <v>-1.1087740616358224</v>
      </c>
    </row>
    <row r="117" spans="1:9" x14ac:dyDescent="0.25">
      <c r="A117" s="3">
        <v>40347</v>
      </c>
      <c r="B117" s="4" t="s">
        <v>0</v>
      </c>
      <c r="C117" s="4">
        <v>249.08180229999999</v>
      </c>
      <c r="D117" s="6">
        <f t="shared" si="6"/>
        <v>-1.0002781141356551E-4</v>
      </c>
      <c r="E117" s="4">
        <f t="shared" si="7"/>
        <v>1.1898261204534032E-2</v>
      </c>
      <c r="F117" s="6">
        <f t="shared" si="8"/>
        <v>-1.1998289015947598E-2</v>
      </c>
      <c r="G117" s="4">
        <f t="shared" si="11"/>
        <v>2.2756773372721025E-2</v>
      </c>
      <c r="H117" s="4">
        <f t="shared" si="9"/>
        <v>-0.52724034376201034</v>
      </c>
      <c r="I117" s="4">
        <f t="shared" si="10"/>
        <v>-1.0579297232498142</v>
      </c>
    </row>
    <row r="118" spans="1:9" x14ac:dyDescent="0.25">
      <c r="A118" s="3">
        <v>40350</v>
      </c>
      <c r="B118" s="4" t="s">
        <v>0</v>
      </c>
      <c r="C118" s="4">
        <v>243.36821520000001</v>
      </c>
      <c r="D118" s="6">
        <f t="shared" si="6"/>
        <v>-2.2938597068277212E-2</v>
      </c>
      <c r="E118" s="4">
        <f t="shared" si="7"/>
        <v>1.1096152785322246E-3</v>
      </c>
      <c r="F118" s="6">
        <f t="shared" si="8"/>
        <v>-2.4048212346809435E-2</v>
      </c>
      <c r="G118" s="4">
        <f t="shared" si="11"/>
        <v>2.0706796298633742E-2</v>
      </c>
      <c r="H118" s="4">
        <f t="shared" si="9"/>
        <v>-1.1613680841780514</v>
      </c>
      <c r="I118" s="4">
        <f t="shared" si="10"/>
        <v>-1.5933264466783714</v>
      </c>
    </row>
    <row r="119" spans="1:9" x14ac:dyDescent="0.25">
      <c r="A119" s="3">
        <v>40351</v>
      </c>
      <c r="B119" s="4" t="s">
        <v>0</v>
      </c>
      <c r="C119" s="4">
        <v>242.21753269999999</v>
      </c>
      <c r="D119" s="6">
        <f t="shared" si="6"/>
        <v>-4.7281544101984941E-3</v>
      </c>
      <c r="E119" s="4">
        <f t="shared" si="7"/>
        <v>-7.6572536244696012E-4</v>
      </c>
      <c r="F119" s="6">
        <f t="shared" si="8"/>
        <v>-3.9624290477515336E-3</v>
      </c>
      <c r="G119" s="4">
        <f t="shared" si="11"/>
        <v>4.1003062189197435E-2</v>
      </c>
      <c r="H119" s="4">
        <f t="shared" si="9"/>
        <v>-9.6637393311455294E-2</v>
      </c>
      <c r="I119" s="4">
        <f t="shared" si="10"/>
        <v>-0.92360792609768916</v>
      </c>
    </row>
    <row r="120" spans="1:9" x14ac:dyDescent="0.25">
      <c r="A120" s="3">
        <v>40352</v>
      </c>
      <c r="B120" s="4" t="s">
        <v>0</v>
      </c>
      <c r="C120" s="4">
        <v>240.1253662</v>
      </c>
      <c r="D120" s="6">
        <f t="shared" si="6"/>
        <v>-8.6375518595974473E-3</v>
      </c>
      <c r="E120" s="4">
        <f t="shared" si="7"/>
        <v>-8.7996772335627912E-3</v>
      </c>
      <c r="F120" s="6">
        <f t="shared" si="8"/>
        <v>1.6212537396534388E-4</v>
      </c>
      <c r="G120" s="4">
        <f t="shared" si="11"/>
        <v>1.6757701139007378E-2</v>
      </c>
      <c r="H120" s="4">
        <f t="shared" si="9"/>
        <v>9.6746786817888779E-3</v>
      </c>
      <c r="I120" s="4">
        <f t="shared" si="10"/>
        <v>-0.91898533290847062</v>
      </c>
    </row>
    <row r="121" spans="1:9" x14ac:dyDescent="0.25">
      <c r="A121" s="3">
        <v>40353</v>
      </c>
      <c r="B121" s="4" t="s">
        <v>0</v>
      </c>
      <c r="C121" s="4">
        <v>236.6633392</v>
      </c>
      <c r="D121" s="6">
        <f t="shared" si="6"/>
        <v>-1.4417581344223707E-2</v>
      </c>
      <c r="E121" s="4">
        <f t="shared" si="7"/>
        <v>-8.8326440141995987E-3</v>
      </c>
      <c r="F121" s="6">
        <f t="shared" si="8"/>
        <v>-5.5849373300241086E-3</v>
      </c>
      <c r="G121" s="4">
        <f t="shared" si="11"/>
        <v>8.1128693526046295E-3</v>
      </c>
      <c r="H121" s="4">
        <f t="shared" si="9"/>
        <v>-0.68840469225984391</v>
      </c>
      <c r="I121" s="4">
        <f t="shared" si="10"/>
        <v>-1.1558890433673581</v>
      </c>
    </row>
    <row r="122" spans="1:9" x14ac:dyDescent="0.25">
      <c r="A122" s="3">
        <v>40354</v>
      </c>
      <c r="B122" s="4" t="s">
        <v>0</v>
      </c>
      <c r="C122" s="4">
        <v>235.4578472</v>
      </c>
      <c r="D122" s="6">
        <f t="shared" si="6"/>
        <v>-5.0936997849981847E-3</v>
      </c>
      <c r="E122" s="4">
        <f t="shared" si="7"/>
        <v>-4.7502526645724508E-3</v>
      </c>
      <c r="F122" s="6">
        <f t="shared" si="8"/>
        <v>-3.4344712042573382E-4</v>
      </c>
      <c r="G122" s="4">
        <f t="shared" si="11"/>
        <v>2.4381003537181079E-2</v>
      </c>
      <c r="H122" s="4">
        <f t="shared" si="9"/>
        <v>-1.408666874199728E-2</v>
      </c>
      <c r="I122" s="4">
        <f t="shared" si="10"/>
        <v>-0.919037750322796</v>
      </c>
    </row>
    <row r="123" spans="1:9" x14ac:dyDescent="0.25">
      <c r="A123" s="3">
        <v>40357</v>
      </c>
      <c r="B123" s="4" t="s">
        <v>0</v>
      </c>
      <c r="C123" s="4">
        <v>235.15897240000001</v>
      </c>
      <c r="D123" s="6">
        <f t="shared" si="6"/>
        <v>-1.2693346327341815E-3</v>
      </c>
      <c r="E123" s="4">
        <f t="shared" si="7"/>
        <v>-8.15691294945072E-3</v>
      </c>
      <c r="F123" s="6">
        <f t="shared" si="8"/>
        <v>6.8875783167165385E-3</v>
      </c>
      <c r="G123" s="4">
        <f t="shared" si="11"/>
        <v>1.0566142240236425E-2</v>
      </c>
      <c r="H123" s="4">
        <f t="shared" si="9"/>
        <v>0.65185364346963626</v>
      </c>
      <c r="I123" s="4">
        <f t="shared" si="10"/>
        <v>-1.1313951194569924</v>
      </c>
    </row>
    <row r="124" spans="1:9" x14ac:dyDescent="0.25">
      <c r="A124" s="3">
        <v>40358</v>
      </c>
      <c r="B124" s="4" t="s">
        <v>0</v>
      </c>
      <c r="C124" s="4">
        <v>226.28223310000001</v>
      </c>
      <c r="D124" s="6">
        <f t="shared" si="6"/>
        <v>-3.774782314025793E-2</v>
      </c>
      <c r="E124" s="4">
        <f t="shared" si="7"/>
        <v>-6.362657133537856E-3</v>
      </c>
      <c r="F124" s="6">
        <f t="shared" si="8"/>
        <v>-3.1385166006720075E-2</v>
      </c>
      <c r="G124" s="4">
        <f t="shared" si="11"/>
        <v>2.3307021418543131E-2</v>
      </c>
      <c r="H124" s="4">
        <f t="shared" si="9"/>
        <v>-1.3465970379960241</v>
      </c>
      <c r="I124" s="4">
        <f t="shared" si="10"/>
        <v>-1.8256003245745056</v>
      </c>
    </row>
    <row r="125" spans="1:9" x14ac:dyDescent="0.25">
      <c r="A125" s="3">
        <v>40359</v>
      </c>
      <c r="B125" s="4" t="s">
        <v>0</v>
      </c>
      <c r="C125" s="4">
        <v>221.6446061</v>
      </c>
      <c r="D125" s="6">
        <f t="shared" si="6"/>
        <v>-2.0494879056415009E-2</v>
      </c>
      <c r="E125" s="4">
        <f t="shared" si="7"/>
        <v>-2.0459520385709912E-3</v>
      </c>
      <c r="F125" s="6">
        <f t="shared" si="8"/>
        <v>-1.8448927017844018E-2</v>
      </c>
      <c r="G125" s="4">
        <f t="shared" si="11"/>
        <v>4.7401804481653861E-2</v>
      </c>
      <c r="H125" s="4">
        <f t="shared" si="9"/>
        <v>-0.38920305291298335</v>
      </c>
      <c r="I125" s="4">
        <f t="shared" si="10"/>
        <v>-0.99467804140306582</v>
      </c>
    </row>
    <row r="126" spans="1:9" x14ac:dyDescent="0.25">
      <c r="A126" s="3">
        <v>40360</v>
      </c>
      <c r="B126" s="4" t="s">
        <v>0</v>
      </c>
      <c r="C126" s="4">
        <v>218.9247986</v>
      </c>
      <c r="D126" s="6">
        <f t="shared" si="6"/>
        <v>-1.2271029500139962E-2</v>
      </c>
      <c r="E126" s="4">
        <f t="shared" si="7"/>
        <v>-1.4819354721311139E-2</v>
      </c>
      <c r="F126" s="6">
        <f t="shared" si="8"/>
        <v>2.5483252211711774E-3</v>
      </c>
      <c r="G126" s="4">
        <f t="shared" si="11"/>
        <v>2.3048532260982933E-2</v>
      </c>
      <c r="H126" s="4">
        <f t="shared" si="9"/>
        <v>0.11056344900039639</v>
      </c>
      <c r="I126" s="4">
        <f t="shared" si="10"/>
        <v>-0.92505067133210428</v>
      </c>
    </row>
    <row r="127" spans="1:9" x14ac:dyDescent="0.25">
      <c r="A127" s="3">
        <v>40361</v>
      </c>
      <c r="B127" s="4" t="s">
        <v>0</v>
      </c>
      <c r="C127" s="4">
        <v>217.460273</v>
      </c>
      <c r="D127" s="6">
        <f t="shared" si="6"/>
        <v>-6.6896286275720329E-3</v>
      </c>
      <c r="E127" s="4">
        <f t="shared" si="7"/>
        <v>-1.9395366084443363E-2</v>
      </c>
      <c r="F127" s="6">
        <f t="shared" si="8"/>
        <v>1.2705737456871331E-2</v>
      </c>
      <c r="G127" s="4">
        <f t="shared" si="11"/>
        <v>1.0800276920709657E-2</v>
      </c>
      <c r="H127" s="4">
        <f t="shared" si="9"/>
        <v>1.1764270073953318</v>
      </c>
      <c r="I127" s="4">
        <f t="shared" si="10"/>
        <v>-1.6109287850692404</v>
      </c>
    </row>
    <row r="128" spans="1:9" x14ac:dyDescent="0.25">
      <c r="A128" s="3">
        <v>40365</v>
      </c>
      <c r="B128" s="4" t="s">
        <v>0</v>
      </c>
      <c r="C128" s="4">
        <v>217.22118219999999</v>
      </c>
      <c r="D128" s="6">
        <f t="shared" si="6"/>
        <v>-1.0994688671250488E-3</v>
      </c>
      <c r="E128" s="4">
        <f t="shared" si="7"/>
        <v>-1.0967695393467028E-2</v>
      </c>
      <c r="F128" s="6">
        <f t="shared" si="8"/>
        <v>9.8682265263419795E-3</v>
      </c>
      <c r="G128" s="4">
        <f t="shared" si="11"/>
        <v>4.095573117428282E-2</v>
      </c>
      <c r="H128" s="4">
        <f t="shared" si="9"/>
        <v>0.24094861069257381</v>
      </c>
      <c r="I128" s="4">
        <f t="shared" si="10"/>
        <v>-0.94796664970201339</v>
      </c>
    </row>
    <row r="129" spans="1:9" x14ac:dyDescent="0.25">
      <c r="A129" s="3">
        <v>40366</v>
      </c>
      <c r="B129" s="4" t="s">
        <v>0</v>
      </c>
      <c r="C129" s="4">
        <v>224.2597992</v>
      </c>
      <c r="D129" s="6">
        <f t="shared" si="6"/>
        <v>3.2402995549114626E-2</v>
      </c>
      <c r="E129" s="4">
        <f t="shared" si="7"/>
        <v>-6.3153579141839878E-3</v>
      </c>
      <c r="F129" s="6">
        <f t="shared" si="8"/>
        <v>3.8718353463298612E-2</v>
      </c>
      <c r="G129" s="4">
        <f t="shared" si="11"/>
        <v>1.838013957852765E-2</v>
      </c>
      <c r="H129" s="4">
        <f t="shared" si="9"/>
        <v>2.1065320694588636</v>
      </c>
      <c r="I129" s="4">
        <f t="shared" si="10"/>
        <v>-3.1376772130339941</v>
      </c>
    </row>
    <row r="130" spans="1:9" x14ac:dyDescent="0.25">
      <c r="A130" s="3">
        <v>40367</v>
      </c>
      <c r="B130" s="4" t="s">
        <v>0</v>
      </c>
      <c r="C130" s="4">
        <v>227.42794119999999</v>
      </c>
      <c r="D130" s="6">
        <f t="shared" si="6"/>
        <v>1.4127106201386401E-2</v>
      </c>
      <c r="E130" s="4">
        <f t="shared" si="7"/>
        <v>-2.4683695989089222E-3</v>
      </c>
      <c r="F130" s="6">
        <f t="shared" si="8"/>
        <v>1.6595475800295321E-2</v>
      </c>
      <c r="G130" s="4">
        <f t="shared" si="11"/>
        <v>7.2926167166908293E-2</v>
      </c>
      <c r="H130" s="4">
        <f t="shared" si="9"/>
        <v>0.22756544660180428</v>
      </c>
      <c r="I130" s="4">
        <f t="shared" si="10"/>
        <v>-0.94483154944821202</v>
      </c>
    </row>
    <row r="131" spans="1:9" x14ac:dyDescent="0.25">
      <c r="A131" s="3">
        <v>40368</v>
      </c>
      <c r="B131" s="4" t="s">
        <v>0</v>
      </c>
      <c r="C131" s="4">
        <v>232.8725306</v>
      </c>
      <c r="D131" s="6">
        <f t="shared" si="6"/>
        <v>2.3939843852396499E-2</v>
      </c>
      <c r="E131" s="4">
        <f t="shared" si="7"/>
        <v>1.2050559545351463E-2</v>
      </c>
      <c r="F131" s="6">
        <f t="shared" si="8"/>
        <v>1.1889284307045037E-2</v>
      </c>
      <c r="G131" s="4">
        <f t="shared" si="11"/>
        <v>2.934242926798853E-2</v>
      </c>
      <c r="H131" s="4">
        <f t="shared" si="9"/>
        <v>0.40519086536627669</v>
      </c>
      <c r="I131" s="4">
        <f t="shared" si="10"/>
        <v>-1.0010283518928087</v>
      </c>
    </row>
    <row r="132" spans="1:9" x14ac:dyDescent="0.25">
      <c r="A132" s="3">
        <v>40371</v>
      </c>
      <c r="B132" s="4" t="s">
        <v>0</v>
      </c>
      <c r="C132" s="4">
        <v>237.02697219999999</v>
      </c>
      <c r="D132" s="6">
        <f t="shared" ref="D132:D195" si="12">(C132-C131)/C131</f>
        <v>1.7839981337841759E-2</v>
      </c>
      <c r="E132" s="4">
        <f t="shared" si="7"/>
        <v>1.5324466966730906E-2</v>
      </c>
      <c r="F132" s="6">
        <f t="shared" si="8"/>
        <v>2.5155143711108538E-3</v>
      </c>
      <c r="G132" s="4">
        <f t="shared" si="11"/>
        <v>1.8554736066592917E-2</v>
      </c>
      <c r="H132" s="4">
        <f t="shared" si="9"/>
        <v>0.13557263019439764</v>
      </c>
      <c r="I132" s="4">
        <f t="shared" si="10"/>
        <v>-0.92812850223358612</v>
      </c>
    </row>
    <row r="133" spans="1:9" x14ac:dyDescent="0.25">
      <c r="A133" s="3">
        <v>40372</v>
      </c>
      <c r="B133" s="4" t="s">
        <v>0</v>
      </c>
      <c r="C133" s="4">
        <v>243.68701770000001</v>
      </c>
      <c r="D133" s="6">
        <f t="shared" si="12"/>
        <v>2.8098260034222486E-2</v>
      </c>
      <c r="E133" s="4">
        <f t="shared" si="7"/>
        <v>1.347851909535326E-2</v>
      </c>
      <c r="F133" s="6">
        <f t="shared" si="8"/>
        <v>1.4619740938869226E-2</v>
      </c>
      <c r="G133" s="4">
        <f t="shared" si="11"/>
        <v>9.8324326196304983E-3</v>
      </c>
      <c r="H133" s="4">
        <f t="shared" si="9"/>
        <v>1.486889511928192</v>
      </c>
      <c r="I133" s="4">
        <f t="shared" si="10"/>
        <v>-2.0243587435457009</v>
      </c>
    </row>
    <row r="134" spans="1:9" x14ac:dyDescent="0.25">
      <c r="A134" s="3">
        <v>40373</v>
      </c>
      <c r="B134" s="4" t="s">
        <v>0</v>
      </c>
      <c r="C134" s="4">
        <v>244.75302909999999</v>
      </c>
      <c r="D134" s="6">
        <f t="shared" si="12"/>
        <v>4.3745104276023952E-3</v>
      </c>
      <c r="E134" s="4">
        <f t="shared" si="7"/>
        <v>1.415204620777223E-2</v>
      </c>
      <c r="F134" s="6">
        <f t="shared" si="8"/>
        <v>-9.7775357801698354E-3</v>
      </c>
      <c r="G134" s="4">
        <f t="shared" si="11"/>
        <v>5.1494124744272791E-2</v>
      </c>
      <c r="H134" s="4">
        <f t="shared" si="9"/>
        <v>-0.18987672532986005</v>
      </c>
      <c r="I134" s="4">
        <f t="shared" si="10"/>
        <v>-0.93696511861566822</v>
      </c>
    </row>
    <row r="135" spans="1:9" x14ac:dyDescent="0.25">
      <c r="A135" s="3">
        <v>40374</v>
      </c>
      <c r="B135" s="4" t="s">
        <v>0</v>
      </c>
      <c r="C135" s="4">
        <v>246.08802270000001</v>
      </c>
      <c r="D135" s="6">
        <f t="shared" si="12"/>
        <v>5.4544517994691427E-3</v>
      </c>
      <c r="E135" s="4">
        <f t="shared" ref="E135:E198" si="13">+$M$16*D134+$M$17*D133+$M$18*D132</f>
        <v>1.6205002090773503E-2</v>
      </c>
      <c r="F135" s="6">
        <f t="shared" ref="F135:F198" si="14">D135-E135</f>
        <v>-1.075055029130436E-2</v>
      </c>
      <c r="G135" s="4">
        <f t="shared" si="11"/>
        <v>2.1302605157486519E-2</v>
      </c>
      <c r="H135" s="4">
        <f t="shared" ref="H135:H198" si="15">F135/G135</f>
        <v>-0.50465894719577153</v>
      </c>
      <c r="I135" s="4">
        <f t="shared" ref="I135:I198" si="16">LN(_xlfn.NORM.DIST(H135,0,1,FALSE))</f>
        <v>-1.0462788596970449</v>
      </c>
    </row>
    <row r="136" spans="1:9" x14ac:dyDescent="0.25">
      <c r="A136" s="3">
        <v>40375</v>
      </c>
      <c r="B136" s="4" t="s">
        <v>0</v>
      </c>
      <c r="C136" s="4">
        <v>228.94724600000001</v>
      </c>
      <c r="D136" s="6">
        <f t="shared" si="12"/>
        <v>-6.9653031106255467E-2</v>
      </c>
      <c r="E136" s="4">
        <f t="shared" si="13"/>
        <v>1.0277547804040906E-2</v>
      </c>
      <c r="F136" s="6">
        <f t="shared" si="14"/>
        <v>-7.9930578910296368E-2</v>
      </c>
      <c r="G136" s="4">
        <f t="shared" ref="G136:G199" si="17">SQRT($M$12 + $M$13 *H135^2+$M$14*G135^2)</f>
        <v>1.9796387371875654E-2</v>
      </c>
      <c r="H136" s="4">
        <f t="shared" si="15"/>
        <v>-4.0376346152860298</v>
      </c>
      <c r="I136" s="4">
        <f t="shared" si="16"/>
        <v>-9.0701851764826547</v>
      </c>
    </row>
    <row r="137" spans="1:9" x14ac:dyDescent="0.25">
      <c r="A137" s="3">
        <v>40378</v>
      </c>
      <c r="B137" s="4" t="s">
        <v>0</v>
      </c>
      <c r="C137" s="4">
        <v>232.2199875</v>
      </c>
      <c r="D137" s="6">
        <f t="shared" si="12"/>
        <v>1.4294740632084279E-2</v>
      </c>
      <c r="E137" s="4">
        <f t="shared" si="13"/>
        <v>3.4234339892895089E-3</v>
      </c>
      <c r="F137" s="6">
        <f t="shared" si="14"/>
        <v>1.087130664279477E-2</v>
      </c>
      <c r="G137" s="4">
        <f t="shared" si="17"/>
        <v>0.1390977329149814</v>
      </c>
      <c r="H137" s="4">
        <f t="shared" si="15"/>
        <v>7.8155886619945658E-2</v>
      </c>
      <c r="I137" s="4">
        <f t="shared" si="16"/>
        <v>-0.92199270451134763</v>
      </c>
    </row>
    <row r="138" spans="1:9" x14ac:dyDescent="0.25">
      <c r="A138" s="3">
        <v>40379</v>
      </c>
      <c r="B138" s="4" t="s">
        <v>0</v>
      </c>
      <c r="C138" s="4">
        <v>239.89622460000001</v>
      </c>
      <c r="D138" s="6">
        <f t="shared" si="12"/>
        <v>3.3055884562908304E-2</v>
      </c>
      <c r="E138" s="4">
        <f t="shared" si="13"/>
        <v>-2.4956182381706944E-2</v>
      </c>
      <c r="F138" s="6">
        <f t="shared" si="14"/>
        <v>5.8012066944615248E-2</v>
      </c>
      <c r="G138" s="4">
        <f t="shared" si="17"/>
        <v>5.3399374004541894E-2</v>
      </c>
      <c r="H138" s="4">
        <f t="shared" si="15"/>
        <v>1.0863810302285757</v>
      </c>
      <c r="I138" s="4">
        <f t="shared" si="16"/>
        <v>-1.5090504046249233</v>
      </c>
    </row>
    <row r="139" spans="1:9" x14ac:dyDescent="0.25">
      <c r="A139" s="3">
        <v>40380</v>
      </c>
      <c r="B139" s="4" t="s">
        <v>0</v>
      </c>
      <c r="C139" s="4">
        <v>237.85885210000001</v>
      </c>
      <c r="D139" s="6">
        <f t="shared" si="12"/>
        <v>-8.4927243160958163E-3</v>
      </c>
      <c r="E139" s="4">
        <f t="shared" si="13"/>
        <v>-1.5866151475879588E-2</v>
      </c>
      <c r="F139" s="6">
        <f t="shared" si="14"/>
        <v>7.3734271597837714E-3</v>
      </c>
      <c r="G139" s="4">
        <f t="shared" si="17"/>
        <v>4.2838117079508228E-2</v>
      </c>
      <c r="H139" s="4">
        <f t="shared" si="15"/>
        <v>0.17212304513988261</v>
      </c>
      <c r="I139" s="4">
        <f t="shared" si="16"/>
        <v>-0.93375170453878575</v>
      </c>
    </row>
    <row r="140" spans="1:9" x14ac:dyDescent="0.25">
      <c r="A140" s="3">
        <v>40381</v>
      </c>
      <c r="B140" s="4" t="s">
        <v>0</v>
      </c>
      <c r="C140" s="4">
        <v>241.5002159</v>
      </c>
      <c r="D140" s="6">
        <f t="shared" si="12"/>
        <v>1.5308926986955695E-2</v>
      </c>
      <c r="E140" s="4">
        <f t="shared" si="13"/>
        <v>1.7014203759711397E-2</v>
      </c>
      <c r="F140" s="6">
        <f t="shared" si="14"/>
        <v>-1.7052767727557018E-3</v>
      </c>
      <c r="G140" s="4">
        <f t="shared" si="17"/>
        <v>1.808912475103569E-2</v>
      </c>
      <c r="H140" s="4">
        <f t="shared" si="15"/>
        <v>-9.4270828258734105E-2</v>
      </c>
      <c r="I140" s="4">
        <f t="shared" si="16"/>
        <v>-0.92338202773496658</v>
      </c>
    </row>
    <row r="141" spans="1:9" x14ac:dyDescent="0.25">
      <c r="A141" s="3">
        <v>40382</v>
      </c>
      <c r="B141" s="4" t="s">
        <v>0</v>
      </c>
      <c r="C141" s="4">
        <v>244.115409</v>
      </c>
      <c r="D141" s="6">
        <f t="shared" si="12"/>
        <v>1.0828947254783797E-2</v>
      </c>
      <c r="E141" s="4">
        <f t="shared" si="13"/>
        <v>6.877151948149922E-3</v>
      </c>
      <c r="F141" s="6">
        <f t="shared" si="14"/>
        <v>3.9517953066338747E-3</v>
      </c>
      <c r="G141" s="4">
        <f t="shared" si="17"/>
        <v>9.1088779144733803E-3</v>
      </c>
      <c r="H141" s="4">
        <f t="shared" si="15"/>
        <v>0.43383996840650851</v>
      </c>
      <c r="I141" s="4">
        <f t="shared" si="16"/>
        <v>-1.0130470922981527</v>
      </c>
    </row>
    <row r="142" spans="1:9" x14ac:dyDescent="0.25">
      <c r="A142" s="3">
        <v>40385</v>
      </c>
      <c r="B142" s="4" t="s">
        <v>0</v>
      </c>
      <c r="C142" s="4">
        <v>243.57245459999999</v>
      </c>
      <c r="D142" s="6">
        <f t="shared" si="12"/>
        <v>-2.2241709453089606E-3</v>
      </c>
      <c r="E142" s="4">
        <f t="shared" si="13"/>
        <v>3.2515855966981952E-3</v>
      </c>
      <c r="F142" s="6">
        <f t="shared" si="14"/>
        <v>-5.4757565420071562E-3</v>
      </c>
      <c r="G142" s="4">
        <f t="shared" si="17"/>
        <v>1.6103158968660117E-2</v>
      </c>
      <c r="H142" s="4">
        <f t="shared" si="15"/>
        <v>-0.34004238253277164</v>
      </c>
      <c r="I142" s="4">
        <f t="shared" si="16"/>
        <v>-0.97675294416395453</v>
      </c>
    </row>
    <row r="143" spans="1:9" x14ac:dyDescent="0.25">
      <c r="A143" s="3">
        <v>40386</v>
      </c>
      <c r="B143" s="4" t="s">
        <v>0</v>
      </c>
      <c r="C143" s="4">
        <v>245.3956235</v>
      </c>
      <c r="D143" s="6">
        <f t="shared" si="12"/>
        <v>7.4851193785194677E-3</v>
      </c>
      <c r="E143" s="4">
        <f t="shared" si="13"/>
        <v>8.8280297510800465E-3</v>
      </c>
      <c r="F143" s="6">
        <f t="shared" si="14"/>
        <v>-1.3429103725605789E-3</v>
      </c>
      <c r="G143" s="4">
        <f t="shared" si="17"/>
        <v>1.4114666759267605E-2</v>
      </c>
      <c r="H143" s="4">
        <f t="shared" si="15"/>
        <v>-9.5142903156309522E-2</v>
      </c>
      <c r="I143" s="4">
        <f t="shared" si="16"/>
        <v>-0.92346461921517808</v>
      </c>
    </row>
    <row r="144" spans="1:9" x14ac:dyDescent="0.25">
      <c r="A144" s="3">
        <v>40387</v>
      </c>
      <c r="B144" s="4" t="s">
        <v>0</v>
      </c>
      <c r="C144" s="4">
        <v>241.27107430000001</v>
      </c>
      <c r="D144" s="6">
        <f t="shared" si="12"/>
        <v>-1.6807753704702846E-2</v>
      </c>
      <c r="E144" s="4">
        <f t="shared" si="13"/>
        <v>2.4662844272427156E-3</v>
      </c>
      <c r="F144" s="6">
        <f t="shared" si="14"/>
        <v>-1.9274038131945562E-2</v>
      </c>
      <c r="G144" s="4">
        <f t="shared" si="17"/>
        <v>8.0321423689260693E-3</v>
      </c>
      <c r="H144" s="4">
        <f t="shared" si="15"/>
        <v>-2.3996136082586124</v>
      </c>
      <c r="I144" s="4">
        <f t="shared" si="16"/>
        <v>-3.7980112676746312</v>
      </c>
    </row>
    <row r="145" spans="1:9" x14ac:dyDescent="0.25">
      <c r="A145" s="3">
        <v>40388</v>
      </c>
      <c r="B145" s="4" t="s">
        <v>0</v>
      </c>
      <c r="C145" s="4">
        <v>241.58987629999999</v>
      </c>
      <c r="D145" s="6">
        <f t="shared" si="12"/>
        <v>1.321343641897054E-3</v>
      </c>
      <c r="E145" s="4">
        <f t="shared" si="13"/>
        <v>2.1799121472252025E-3</v>
      </c>
      <c r="F145" s="6">
        <f t="shared" si="14"/>
        <v>-8.5856850532814856E-4</v>
      </c>
      <c r="G145" s="4">
        <f t="shared" si="17"/>
        <v>8.2699231701584927E-2</v>
      </c>
      <c r="H145" s="4">
        <f t="shared" si="15"/>
        <v>-1.0381819608992742E-2</v>
      </c>
      <c r="I145" s="4">
        <f t="shared" si="16"/>
        <v>-0.91899242429386963</v>
      </c>
    </row>
    <row r="146" spans="1:9" x14ac:dyDescent="0.25">
      <c r="A146" s="3">
        <v>40389</v>
      </c>
      <c r="B146" s="4" t="s">
        <v>0</v>
      </c>
      <c r="C146" s="4">
        <v>241.52014370000001</v>
      </c>
      <c r="D146" s="6">
        <f t="shared" si="12"/>
        <v>-2.8864040607971657E-4</v>
      </c>
      <c r="E146" s="4">
        <f t="shared" si="13"/>
        <v>-4.1328941346626923E-3</v>
      </c>
      <c r="F146" s="6">
        <f t="shared" si="14"/>
        <v>3.8442537285829758E-3</v>
      </c>
      <c r="G146" s="4">
        <f t="shared" si="17"/>
        <v>3.1961561255096291E-2</v>
      </c>
      <c r="H146" s="4">
        <f t="shared" si="15"/>
        <v>0.12027740753652975</v>
      </c>
      <c r="I146" s="4">
        <f t="shared" si="16"/>
        <v>-0.92617186058652701</v>
      </c>
    </row>
    <row r="147" spans="1:9" x14ac:dyDescent="0.25">
      <c r="A147" s="3">
        <v>40392</v>
      </c>
      <c r="B147" s="4" t="s">
        <v>0</v>
      </c>
      <c r="C147" s="4">
        <v>244.28975600000001</v>
      </c>
      <c r="D147" s="6">
        <f t="shared" si="12"/>
        <v>1.1467417406973022E-2</v>
      </c>
      <c r="E147" s="4">
        <f t="shared" si="13"/>
        <v>-4.6422953126269307E-3</v>
      </c>
      <c r="F147" s="6">
        <f t="shared" si="14"/>
        <v>1.6109712719599954E-2</v>
      </c>
      <c r="G147" s="4">
        <f t="shared" si="17"/>
        <v>1.3811057720301455E-2</v>
      </c>
      <c r="H147" s="4">
        <f t="shared" si="15"/>
        <v>1.1664358404584472</v>
      </c>
      <c r="I147" s="4">
        <f t="shared" si="16"/>
        <v>-1.5992248181576747</v>
      </c>
    </row>
    <row r="148" spans="1:9" x14ac:dyDescent="0.25">
      <c r="A148" s="3">
        <v>40393</v>
      </c>
      <c r="B148" s="4" t="s">
        <v>0</v>
      </c>
      <c r="C148" s="4">
        <v>244.0008454</v>
      </c>
      <c r="D148" s="6">
        <f t="shared" si="12"/>
        <v>-1.1826554036920333E-3</v>
      </c>
      <c r="E148" s="4">
        <f t="shared" si="13"/>
        <v>2.9455253476338208E-4</v>
      </c>
      <c r="F148" s="6">
        <f t="shared" si="14"/>
        <v>-1.4772079384554153E-3</v>
      </c>
      <c r="G148" s="4">
        <f t="shared" si="17"/>
        <v>4.0749312291672952E-2</v>
      </c>
      <c r="H148" s="4">
        <f t="shared" si="15"/>
        <v>-3.6251113341053368E-2</v>
      </c>
      <c r="I148" s="4">
        <f t="shared" si="16"/>
        <v>-0.91959560481390556</v>
      </c>
    </row>
    <row r="149" spans="1:9" x14ac:dyDescent="0.25">
      <c r="A149" s="3">
        <v>40394</v>
      </c>
      <c r="B149" s="4" t="s">
        <v>0</v>
      </c>
      <c r="C149" s="4">
        <v>252.21506249999999</v>
      </c>
      <c r="D149" s="6">
        <f t="shared" si="12"/>
        <v>3.3664707540394384E-2</v>
      </c>
      <c r="E149" s="4">
        <f t="shared" si="13"/>
        <v>4.2953349336835511E-3</v>
      </c>
      <c r="F149" s="6">
        <f t="shared" si="14"/>
        <v>2.9369372606710832E-2</v>
      </c>
      <c r="G149" s="4">
        <f t="shared" si="17"/>
        <v>1.6380294179315545E-2</v>
      </c>
      <c r="H149" s="4">
        <f t="shared" si="15"/>
        <v>1.7929697895046008</v>
      </c>
      <c r="I149" s="4">
        <f t="shared" si="16"/>
        <v>-2.5263088662427591</v>
      </c>
    </row>
    <row r="150" spans="1:9" x14ac:dyDescent="0.25">
      <c r="A150" s="3">
        <v>40395</v>
      </c>
      <c r="B150" s="4" t="s">
        <v>0</v>
      </c>
      <c r="C150" s="4">
        <v>253.1017525</v>
      </c>
      <c r="D150" s="6">
        <f t="shared" si="12"/>
        <v>3.515610809326726E-3</v>
      </c>
      <c r="E150" s="4">
        <f t="shared" si="13"/>
        <v>3.0604906651159362E-3</v>
      </c>
      <c r="F150" s="6">
        <f t="shared" si="14"/>
        <v>4.5512014421078984E-4</v>
      </c>
      <c r="G150" s="4">
        <f t="shared" si="17"/>
        <v>6.2153565543438503E-2</v>
      </c>
      <c r="H150" s="4">
        <f t="shared" si="15"/>
        <v>7.3225106272094874E-3</v>
      </c>
      <c r="I150" s="4">
        <f t="shared" si="16"/>
        <v>-0.91896534278561548</v>
      </c>
    </row>
    <row r="151" spans="1:9" x14ac:dyDescent="0.25">
      <c r="A151" s="3">
        <v>40396</v>
      </c>
      <c r="B151" s="4" t="s">
        <v>0</v>
      </c>
      <c r="C151" s="4">
        <v>249.17645250000001</v>
      </c>
      <c r="D151" s="6">
        <f t="shared" si="12"/>
        <v>-1.5508782381899915E-2</v>
      </c>
      <c r="E151" s="4">
        <f t="shared" si="13"/>
        <v>1.250719752549604E-2</v>
      </c>
      <c r="F151" s="6">
        <f t="shared" si="14"/>
        <v>-2.8015979907395953E-2</v>
      </c>
      <c r="G151" s="4">
        <f t="shared" si="17"/>
        <v>2.4244369622177488E-2</v>
      </c>
      <c r="H151" s="4">
        <f t="shared" si="15"/>
        <v>-1.1555664405383588</v>
      </c>
      <c r="I151" s="4">
        <f t="shared" si="16"/>
        <v>-1.5866054324539187</v>
      </c>
    </row>
    <row r="152" spans="1:9" x14ac:dyDescent="0.25">
      <c r="A152" s="3">
        <v>40399</v>
      </c>
      <c r="B152" s="4" t="s">
        <v>0</v>
      </c>
      <c r="C152" s="4">
        <v>251.73187709999999</v>
      </c>
      <c r="D152" s="6">
        <f t="shared" si="12"/>
        <v>1.025548190593965E-2</v>
      </c>
      <c r="E152" s="4">
        <f t="shared" si="13"/>
        <v>1.165352592511403E-2</v>
      </c>
      <c r="F152" s="6">
        <f t="shared" si="14"/>
        <v>-1.3980440191743802E-3</v>
      </c>
      <c r="G152" s="4">
        <f t="shared" si="17"/>
        <v>4.1091824257153506E-2</v>
      </c>
      <c r="H152" s="4">
        <f t="shared" si="15"/>
        <v>-3.4022437417852054E-2</v>
      </c>
      <c r="I152" s="4">
        <f t="shared" si="16"/>
        <v>-0.91951729632859858</v>
      </c>
    </row>
    <row r="153" spans="1:9" x14ac:dyDescent="0.25">
      <c r="A153" s="3">
        <v>40400</v>
      </c>
      <c r="B153" s="4" t="s">
        <v>0</v>
      </c>
      <c r="C153" s="4">
        <v>250.9149352</v>
      </c>
      <c r="D153" s="6">
        <f t="shared" si="12"/>
        <v>-3.2452858549791869E-3</v>
      </c>
      <c r="E153" s="4">
        <f t="shared" si="13"/>
        <v>-4.851816490535869E-3</v>
      </c>
      <c r="F153" s="6">
        <f t="shared" si="14"/>
        <v>1.606530635556682E-3</v>
      </c>
      <c r="G153" s="4">
        <f t="shared" si="17"/>
        <v>1.6498903347419436E-2</v>
      </c>
      <c r="H153" s="4">
        <f t="shared" si="15"/>
        <v>9.7371964774128864E-2</v>
      </c>
      <c r="I153" s="4">
        <f t="shared" si="16"/>
        <v>-0.92367918296665974</v>
      </c>
    </row>
    <row r="154" spans="1:9" x14ac:dyDescent="0.25">
      <c r="A154" s="3">
        <v>40401</v>
      </c>
      <c r="B154" s="4" t="s">
        <v>0</v>
      </c>
      <c r="C154" s="4">
        <v>244.95227869999999</v>
      </c>
      <c r="D154" s="6">
        <f t="shared" si="12"/>
        <v>-2.37636571742821E-2</v>
      </c>
      <c r="E154" s="4">
        <f t="shared" si="13"/>
        <v>-8.2920622277936947E-4</v>
      </c>
      <c r="F154" s="6">
        <f t="shared" si="14"/>
        <v>-2.2934450951502729E-2</v>
      </c>
      <c r="G154" s="4">
        <f t="shared" si="17"/>
        <v>8.698208242894025E-3</v>
      </c>
      <c r="H154" s="4">
        <f t="shared" si="15"/>
        <v>-2.6366868107853088</v>
      </c>
      <c r="I154" s="4">
        <f t="shared" si="16"/>
        <v>-4.3949972022892734</v>
      </c>
    </row>
    <row r="155" spans="1:9" x14ac:dyDescent="0.25">
      <c r="A155" s="3">
        <v>40402</v>
      </c>
      <c r="B155" s="4" t="s">
        <v>0</v>
      </c>
      <c r="C155" s="4">
        <v>245.0867696</v>
      </c>
      <c r="D155" s="6">
        <f t="shared" si="12"/>
        <v>5.490493932686284E-4</v>
      </c>
      <c r="E155" s="4">
        <f t="shared" si="13"/>
        <v>1.8996834073272677E-3</v>
      </c>
      <c r="F155" s="6">
        <f t="shared" si="14"/>
        <v>-1.3506340140586393E-3</v>
      </c>
      <c r="G155" s="4">
        <f t="shared" si="17"/>
        <v>9.0839543285890723E-2</v>
      </c>
      <c r="H155" s="4">
        <f t="shared" si="15"/>
        <v>-1.486834879616156E-2</v>
      </c>
      <c r="I155" s="4">
        <f t="shared" si="16"/>
        <v>-0.9190490671026349</v>
      </c>
    </row>
    <row r="156" spans="1:9" x14ac:dyDescent="0.25">
      <c r="A156" s="3">
        <v>40403</v>
      </c>
      <c r="B156" s="4" t="s">
        <v>0</v>
      </c>
      <c r="C156" s="4">
        <v>242.2673375</v>
      </c>
      <c r="D156" s="6">
        <f t="shared" si="12"/>
        <v>-1.1503811913639913E-2</v>
      </c>
      <c r="E156" s="4">
        <f t="shared" si="13"/>
        <v>-1.0078217253766824E-2</v>
      </c>
      <c r="F156" s="6">
        <f t="shared" si="14"/>
        <v>-1.425594659873089E-3</v>
      </c>
      <c r="G156" s="4">
        <f t="shared" si="17"/>
        <v>3.5036171200173313E-2</v>
      </c>
      <c r="H156" s="4">
        <f t="shared" si="15"/>
        <v>-4.0689225193249343E-2</v>
      </c>
      <c r="I156" s="4">
        <f t="shared" si="16"/>
        <v>-0.91976633972808619</v>
      </c>
    </row>
    <row r="157" spans="1:9" x14ac:dyDescent="0.25">
      <c r="A157" s="3">
        <v>40406</v>
      </c>
      <c r="B157" s="4" t="s">
        <v>0</v>
      </c>
      <c r="C157" s="4">
        <v>241.88875110000001</v>
      </c>
      <c r="D157" s="6">
        <f t="shared" si="12"/>
        <v>-1.5626803179771974E-3</v>
      </c>
      <c r="E157" s="4">
        <f t="shared" si="13"/>
        <v>-7.0680124833207379E-3</v>
      </c>
      <c r="F157" s="6">
        <f t="shared" si="14"/>
        <v>5.5053321653435409E-3</v>
      </c>
      <c r="G157" s="4">
        <f t="shared" si="17"/>
        <v>1.4339565226721612E-2</v>
      </c>
      <c r="H157" s="4">
        <f t="shared" si="15"/>
        <v>0.3839260171629485</v>
      </c>
      <c r="I157" s="4">
        <f t="shared" si="16"/>
        <v>-0.99263812653197503</v>
      </c>
    </row>
    <row r="158" spans="1:9" x14ac:dyDescent="0.25">
      <c r="A158" s="3">
        <v>40407</v>
      </c>
      <c r="B158" s="4" t="s">
        <v>0</v>
      </c>
      <c r="C158" s="4">
        <v>244.34455059999999</v>
      </c>
      <c r="D158" s="6">
        <f t="shared" si="12"/>
        <v>1.0152599030885581E-2</v>
      </c>
      <c r="E158" s="4">
        <f t="shared" si="13"/>
        <v>-4.2295518759181954E-3</v>
      </c>
      <c r="F158" s="6">
        <f t="shared" si="14"/>
        <v>1.4382150906803776E-2</v>
      </c>
      <c r="G158" s="4">
        <f t="shared" si="17"/>
        <v>1.5130972527422829E-2</v>
      </c>
      <c r="H158" s="4">
        <f t="shared" si="15"/>
        <v>0.95051067475921225</v>
      </c>
      <c r="I158" s="4">
        <f t="shared" si="16"/>
        <v>-1.3706738046202791</v>
      </c>
    </row>
    <row r="159" spans="1:9" x14ac:dyDescent="0.25">
      <c r="A159" s="3">
        <v>40408</v>
      </c>
      <c r="B159" s="4" t="s">
        <v>0</v>
      </c>
      <c r="C159" s="4">
        <v>240.17517050000001</v>
      </c>
      <c r="D159" s="6">
        <f t="shared" si="12"/>
        <v>-1.7063528078534458E-2</v>
      </c>
      <c r="E159" s="4">
        <f t="shared" si="13"/>
        <v>-4.1202450017090702E-3</v>
      </c>
      <c r="F159" s="6">
        <f t="shared" si="14"/>
        <v>-1.2943283076825388E-2</v>
      </c>
      <c r="G159" s="4">
        <f t="shared" si="17"/>
        <v>3.3553988133200763E-2</v>
      </c>
      <c r="H159" s="4">
        <f t="shared" si="15"/>
        <v>-0.38574499774643362</v>
      </c>
      <c r="I159" s="4">
        <f t="shared" si="16"/>
        <v>-0.9933381348478707</v>
      </c>
    </row>
    <row r="160" spans="1:9" x14ac:dyDescent="0.25">
      <c r="A160" s="3">
        <v>40409</v>
      </c>
      <c r="B160" s="4" t="s">
        <v>0</v>
      </c>
      <c r="C160" s="4">
        <v>233.11163640000001</v>
      </c>
      <c r="D160" s="6">
        <f t="shared" si="12"/>
        <v>-2.9409926451993498E-2</v>
      </c>
      <c r="E160" s="4">
        <f t="shared" si="13"/>
        <v>3.4022120330667893E-3</v>
      </c>
      <c r="F160" s="6">
        <f t="shared" si="14"/>
        <v>-3.2812138485060288E-2</v>
      </c>
      <c r="G160" s="4">
        <f t="shared" si="17"/>
        <v>1.9097190242133692E-2</v>
      </c>
      <c r="H160" s="4">
        <f t="shared" si="15"/>
        <v>-1.718165765174587</v>
      </c>
      <c r="I160" s="4">
        <f t="shared" si="16"/>
        <v>-2.3949853315136593</v>
      </c>
    </row>
    <row r="161" spans="1:9" x14ac:dyDescent="0.25">
      <c r="A161" s="3">
        <v>40410</v>
      </c>
      <c r="B161" s="4" t="s">
        <v>0</v>
      </c>
      <c r="C161" s="4">
        <v>230.14774869999999</v>
      </c>
      <c r="D161" s="6">
        <f t="shared" si="12"/>
        <v>-1.2714456239817358E-2</v>
      </c>
      <c r="E161" s="4">
        <f t="shared" si="13"/>
        <v>-3.4143644474443893E-3</v>
      </c>
      <c r="F161" s="6">
        <f t="shared" si="14"/>
        <v>-9.3000917923729692E-3</v>
      </c>
      <c r="G161" s="4">
        <f t="shared" si="17"/>
        <v>5.9721985411171498E-2</v>
      </c>
      <c r="H161" s="4">
        <f t="shared" si="15"/>
        <v>-0.15572308469559534</v>
      </c>
      <c r="I161" s="4">
        <f t="shared" si="16"/>
        <v>-0.93106337275822848</v>
      </c>
    </row>
    <row r="162" spans="1:9" x14ac:dyDescent="0.25">
      <c r="A162" s="3">
        <v>40413</v>
      </c>
      <c r="B162" s="4" t="s">
        <v>0</v>
      </c>
      <c r="C162" s="4">
        <v>231.16891469999999</v>
      </c>
      <c r="D162" s="6">
        <f t="shared" si="12"/>
        <v>4.4370019075489391E-3</v>
      </c>
      <c r="E162" s="4">
        <f t="shared" si="13"/>
        <v>-1.6468801174017163E-2</v>
      </c>
      <c r="F162" s="6">
        <f t="shared" si="14"/>
        <v>2.0905803081566102E-2</v>
      </c>
      <c r="G162" s="4">
        <f t="shared" si="17"/>
        <v>2.3941577082411247E-2</v>
      </c>
      <c r="H162" s="4">
        <f t="shared" si="15"/>
        <v>0.87320075071097192</v>
      </c>
      <c r="I162" s="4">
        <f t="shared" si="16"/>
        <v>-1.3001783087257752</v>
      </c>
    </row>
    <row r="163" spans="1:9" x14ac:dyDescent="0.25">
      <c r="A163" s="3">
        <v>40414</v>
      </c>
      <c r="B163" s="4" t="s">
        <v>0</v>
      </c>
      <c r="C163" s="4">
        <v>224.85258880000001</v>
      </c>
      <c r="D163" s="6">
        <f t="shared" si="12"/>
        <v>-2.7323422390925736E-2</v>
      </c>
      <c r="E163" s="4">
        <f t="shared" si="13"/>
        <v>-1.3867238672310499E-2</v>
      </c>
      <c r="F163" s="6">
        <f t="shared" si="14"/>
        <v>-1.3456183718615237E-2</v>
      </c>
      <c r="G163" s="4">
        <f t="shared" si="17"/>
        <v>3.1771257039292629E-2</v>
      </c>
      <c r="H163" s="4">
        <f t="shared" si="15"/>
        <v>-0.42353324899841077</v>
      </c>
      <c r="I163" s="4">
        <f t="shared" si="16"/>
        <v>-1.0086287397082476</v>
      </c>
    </row>
    <row r="164" spans="1:9" x14ac:dyDescent="0.25">
      <c r="A164" s="3">
        <v>40415</v>
      </c>
      <c r="B164" s="4" t="s">
        <v>0</v>
      </c>
      <c r="C164" s="4">
        <v>226.46155450000001</v>
      </c>
      <c r="D164" s="6">
        <f t="shared" si="12"/>
        <v>7.1556467665628174E-3</v>
      </c>
      <c r="E164" s="4">
        <f t="shared" si="13"/>
        <v>-2.1982032056436047E-3</v>
      </c>
      <c r="F164" s="6">
        <f t="shared" si="14"/>
        <v>9.3538499722064222E-3</v>
      </c>
      <c r="G164" s="4">
        <f t="shared" si="17"/>
        <v>1.9592675899721509E-2</v>
      </c>
      <c r="H164" s="4">
        <f t="shared" si="15"/>
        <v>0.47741564348233706</v>
      </c>
      <c r="I164" s="4">
        <f t="shared" si="16"/>
        <v>-1.0329013815254997</v>
      </c>
    </row>
    <row r="165" spans="1:9" x14ac:dyDescent="0.25">
      <c r="A165" s="3">
        <v>40416</v>
      </c>
      <c r="B165" s="4" t="s">
        <v>0</v>
      </c>
      <c r="C165" s="4">
        <v>224.64834980000001</v>
      </c>
      <c r="D165" s="6">
        <f t="shared" si="12"/>
        <v>-8.0066777957227171E-3</v>
      </c>
      <c r="E165" s="4">
        <f t="shared" si="13"/>
        <v>-9.0861917599507555E-3</v>
      </c>
      <c r="F165" s="6">
        <f t="shared" si="14"/>
        <v>1.0795139642280384E-3</v>
      </c>
      <c r="G165" s="4">
        <f t="shared" si="17"/>
        <v>1.8710632681504476E-2</v>
      </c>
      <c r="H165" s="4">
        <f t="shared" si="15"/>
        <v>5.769521440582507E-2</v>
      </c>
      <c r="I165" s="4">
        <f t="shared" si="16"/>
        <v>-0.92060290208733975</v>
      </c>
    </row>
    <row r="166" spans="1:9" x14ac:dyDescent="0.25">
      <c r="A166" s="3">
        <v>40417</v>
      </c>
      <c r="B166" s="4" t="s">
        <v>0</v>
      </c>
      <c r="C166" s="4">
        <v>228.5586959</v>
      </c>
      <c r="D166" s="6">
        <f t="shared" si="12"/>
        <v>1.740652047291379E-2</v>
      </c>
      <c r="E166" s="4">
        <f t="shared" si="13"/>
        <v>-5.6325636400592419E-3</v>
      </c>
      <c r="F166" s="6">
        <f t="shared" si="14"/>
        <v>2.3039084112973032E-2</v>
      </c>
      <c r="G166" s="4">
        <f t="shared" si="17"/>
        <v>8.9294911822545339E-3</v>
      </c>
      <c r="H166" s="4">
        <f t="shared" si="15"/>
        <v>2.5801116371286996</v>
      </c>
      <c r="I166" s="4">
        <f t="shared" si="16"/>
        <v>-4.2474265632281414</v>
      </c>
    </row>
    <row r="167" spans="1:9" x14ac:dyDescent="0.25">
      <c r="A167" s="3">
        <v>40420</v>
      </c>
      <c r="B167" s="4" t="s">
        <v>0</v>
      </c>
      <c r="C167" s="4">
        <v>225.5001575</v>
      </c>
      <c r="D167" s="6">
        <f t="shared" si="12"/>
        <v>-1.3381850941861291E-2</v>
      </c>
      <c r="E167" s="4">
        <f t="shared" si="13"/>
        <v>-8.6900573597914607E-4</v>
      </c>
      <c r="F167" s="6">
        <f t="shared" si="14"/>
        <v>-1.2512845205882145E-2</v>
      </c>
      <c r="G167" s="4">
        <f t="shared" si="17"/>
        <v>8.8902299224351444E-2</v>
      </c>
      <c r="H167" s="4">
        <f t="shared" si="15"/>
        <v>-0.14074827439845022</v>
      </c>
      <c r="I167" s="4">
        <f t="shared" si="16"/>
        <v>-0.92884357157774344</v>
      </c>
    </row>
    <row r="168" spans="1:9" x14ac:dyDescent="0.25">
      <c r="A168" s="3">
        <v>40421</v>
      </c>
      <c r="B168" s="4" t="s">
        <v>0</v>
      </c>
      <c r="C168" s="4">
        <v>224.17013829999999</v>
      </c>
      <c r="D168" s="6">
        <f t="shared" si="12"/>
        <v>-5.8980854592086459E-3</v>
      </c>
      <c r="E168" s="4">
        <f t="shared" si="13"/>
        <v>4.2018205952575102E-3</v>
      </c>
      <c r="F168" s="6">
        <f t="shared" si="14"/>
        <v>-1.0099906054466156E-2</v>
      </c>
      <c r="G168" s="4">
        <f t="shared" si="17"/>
        <v>3.4640179397792362E-2</v>
      </c>
      <c r="H168" s="4">
        <f t="shared" si="15"/>
        <v>-0.29156621674741756</v>
      </c>
      <c r="I168" s="4">
        <f t="shared" si="16"/>
        <v>-0.96144396257887366</v>
      </c>
    </row>
    <row r="169" spans="1:9" x14ac:dyDescent="0.25">
      <c r="A169" s="3">
        <v>40422</v>
      </c>
      <c r="B169" s="4" t="s">
        <v>0</v>
      </c>
      <c r="C169" s="4">
        <v>229.30590470000001</v>
      </c>
      <c r="D169" s="6">
        <f t="shared" si="12"/>
        <v>2.2910127276305575E-2</v>
      </c>
      <c r="E169" s="4">
        <f t="shared" si="13"/>
        <v>2.1506393469648312E-4</v>
      </c>
      <c r="F169" s="6">
        <f t="shared" si="14"/>
        <v>2.269506334160909E-2</v>
      </c>
      <c r="G169" s="4">
        <f t="shared" si="17"/>
        <v>1.7323730831466013E-2</v>
      </c>
      <c r="H169" s="4">
        <f t="shared" si="15"/>
        <v>1.3100563361551911</v>
      </c>
      <c r="I169" s="4">
        <f t="shared" si="16"/>
        <v>-1.7770623351548542</v>
      </c>
    </row>
    <row r="170" spans="1:9" x14ac:dyDescent="0.25">
      <c r="A170" s="3">
        <v>40423</v>
      </c>
      <c r="B170" s="4" t="s">
        <v>0</v>
      </c>
      <c r="C170" s="4">
        <v>230.7255849</v>
      </c>
      <c r="D170" s="6">
        <f t="shared" si="12"/>
        <v>6.1912064665641713E-3</v>
      </c>
      <c r="E170" s="4">
        <f t="shared" si="13"/>
        <v>-6.3524787399100013E-3</v>
      </c>
      <c r="F170" s="6">
        <f t="shared" si="14"/>
        <v>1.2543685206474173E-2</v>
      </c>
      <c r="G170" s="4">
        <f t="shared" si="17"/>
        <v>4.5790615163517359E-2</v>
      </c>
      <c r="H170" s="4">
        <f t="shared" si="15"/>
        <v>0.27393572158139673</v>
      </c>
      <c r="I170" s="4">
        <f t="shared" si="16"/>
        <v>-0.95645892298383284</v>
      </c>
    </row>
    <row r="171" spans="1:9" x14ac:dyDescent="0.25">
      <c r="A171" s="3">
        <v>40424</v>
      </c>
      <c r="B171" s="4" t="s">
        <v>0</v>
      </c>
      <c r="C171" s="4">
        <v>234.27229790000001</v>
      </c>
      <c r="D171" s="6">
        <f t="shared" si="12"/>
        <v>1.5371997004741416E-2</v>
      </c>
      <c r="E171" s="4">
        <f t="shared" si="13"/>
        <v>6.9518876273295827E-3</v>
      </c>
      <c r="F171" s="6">
        <f t="shared" si="14"/>
        <v>8.420109377411833E-3</v>
      </c>
      <c r="G171" s="4">
        <f t="shared" si="17"/>
        <v>2.0469969033352107E-2</v>
      </c>
      <c r="H171" s="4">
        <f t="shared" si="15"/>
        <v>0.41133962458334888</v>
      </c>
      <c r="I171" s="4">
        <f t="shared" si="16"/>
        <v>-1.0035386765808578</v>
      </c>
    </row>
    <row r="172" spans="1:9" x14ac:dyDescent="0.25">
      <c r="A172" s="3">
        <v>40428</v>
      </c>
      <c r="B172" s="4" t="s">
        <v>0</v>
      </c>
      <c r="C172" s="4">
        <v>231.33329749999999</v>
      </c>
      <c r="D172" s="6">
        <f t="shared" si="12"/>
        <v>-1.2545232305932087E-2</v>
      </c>
      <c r="E172" s="4">
        <f t="shared" si="13"/>
        <v>9.3833541621278042E-3</v>
      </c>
      <c r="F172" s="6">
        <f t="shared" si="14"/>
        <v>-2.1928586468059889E-2</v>
      </c>
      <c r="G172" s="4">
        <f t="shared" si="17"/>
        <v>1.6905850981254363E-2</v>
      </c>
      <c r="H172" s="4">
        <f t="shared" si="15"/>
        <v>-1.2971004235382688</v>
      </c>
      <c r="I172" s="4">
        <f t="shared" si="16"/>
        <v>-1.7601732875762508</v>
      </c>
    </row>
    <row r="173" spans="1:9" x14ac:dyDescent="0.25">
      <c r="A173" s="3">
        <v>40429</v>
      </c>
      <c r="B173" s="4" t="s">
        <v>0</v>
      </c>
      <c r="C173" s="4">
        <v>234.41176369999999</v>
      </c>
      <c r="D173" s="6">
        <f t="shared" si="12"/>
        <v>1.3307492839417154E-2</v>
      </c>
      <c r="E173" s="4">
        <f t="shared" si="13"/>
        <v>7.7722147517119474E-3</v>
      </c>
      <c r="F173" s="6">
        <f t="shared" si="14"/>
        <v>5.5352780877052071E-3</v>
      </c>
      <c r="G173" s="4">
        <f t="shared" si="17"/>
        <v>4.532964898808093E-2</v>
      </c>
      <c r="H173" s="4">
        <f t="shared" si="15"/>
        <v>0.12211164681995805</v>
      </c>
      <c r="I173" s="4">
        <f t="shared" si="16"/>
        <v>-0.92639416034921374</v>
      </c>
    </row>
    <row r="174" spans="1:9" x14ac:dyDescent="0.25">
      <c r="A174" s="3">
        <v>40430</v>
      </c>
      <c r="B174" s="4" t="s">
        <v>0</v>
      </c>
      <c r="C174" s="4">
        <v>237.2013192</v>
      </c>
      <c r="D174" s="6">
        <f t="shared" si="12"/>
        <v>1.190023681392576E-2</v>
      </c>
      <c r="E174" s="4">
        <f t="shared" si="13"/>
        <v>-8.7807346544087339E-5</v>
      </c>
      <c r="F174" s="6">
        <f t="shared" si="14"/>
        <v>1.1988044160469847E-2</v>
      </c>
      <c r="G174" s="4">
        <f t="shared" si="17"/>
        <v>1.8488852866834282E-2</v>
      </c>
      <c r="H174" s="4">
        <f t="shared" si="15"/>
        <v>0.64839307483344566</v>
      </c>
      <c r="I174" s="4">
        <f t="shared" si="16"/>
        <v>-1.1291453229506576</v>
      </c>
    </row>
    <row r="175" spans="1:9" x14ac:dyDescent="0.25">
      <c r="A175" s="3">
        <v>40431</v>
      </c>
      <c r="B175" s="4" t="s">
        <v>0</v>
      </c>
      <c r="C175" s="4">
        <v>237.1813914</v>
      </c>
      <c r="D175" s="6">
        <f t="shared" si="12"/>
        <v>-8.4012180316765013E-5</v>
      </c>
      <c r="E175" s="4">
        <f t="shared" si="13"/>
        <v>1.2454108068770805E-3</v>
      </c>
      <c r="F175" s="6">
        <f t="shared" si="14"/>
        <v>-1.3294229871938456E-3</v>
      </c>
      <c r="G175" s="4">
        <f t="shared" si="17"/>
        <v>2.3904903245036437E-2</v>
      </c>
      <c r="H175" s="4">
        <f t="shared" si="15"/>
        <v>-5.5612983393684479E-2</v>
      </c>
      <c r="I175" s="4">
        <f t="shared" si="16"/>
        <v>-0.92048493516564578</v>
      </c>
    </row>
    <row r="176" spans="1:9" x14ac:dyDescent="0.25">
      <c r="A176" s="3">
        <v>40434</v>
      </c>
      <c r="B176" s="4" t="s">
        <v>0</v>
      </c>
      <c r="C176" s="4">
        <v>240.23495489999999</v>
      </c>
      <c r="D176" s="6">
        <f t="shared" si="12"/>
        <v>1.2874380582624391E-2</v>
      </c>
      <c r="E176" s="4">
        <f t="shared" si="13"/>
        <v>8.624660653533749E-3</v>
      </c>
      <c r="F176" s="6">
        <f t="shared" si="14"/>
        <v>4.249719929090642E-3</v>
      </c>
      <c r="G176" s="4">
        <f t="shared" si="17"/>
        <v>1.0569479400903753E-2</v>
      </c>
      <c r="H176" s="4">
        <f t="shared" si="15"/>
        <v>0.40207466876062659</v>
      </c>
      <c r="I176" s="4">
        <f t="shared" si="16"/>
        <v>-0.9997705528341565</v>
      </c>
    </row>
    <row r="177" spans="1:9" x14ac:dyDescent="0.25">
      <c r="A177" s="3">
        <v>40435</v>
      </c>
      <c r="B177" s="4" t="s">
        <v>0</v>
      </c>
      <c r="C177" s="4">
        <v>239.3183884</v>
      </c>
      <c r="D177" s="6">
        <f t="shared" si="12"/>
        <v>-3.8152919935465547E-3</v>
      </c>
      <c r="E177" s="4">
        <f t="shared" si="13"/>
        <v>3.6126152279304792E-3</v>
      </c>
      <c r="F177" s="6">
        <f t="shared" si="14"/>
        <v>-7.4279072214770338E-3</v>
      </c>
      <c r="G177" s="4">
        <f t="shared" si="17"/>
        <v>1.523547598645218E-2</v>
      </c>
      <c r="H177" s="4">
        <f t="shared" si="15"/>
        <v>-0.48754021391140917</v>
      </c>
      <c r="I177" s="4">
        <f t="shared" si="16"/>
        <v>-1.0377862632950641</v>
      </c>
    </row>
    <row r="178" spans="1:9" x14ac:dyDescent="0.25">
      <c r="A178" s="3">
        <v>40436</v>
      </c>
      <c r="B178" s="4" t="s">
        <v>0</v>
      </c>
      <c r="C178" s="4">
        <v>239.42300280000001</v>
      </c>
      <c r="D178" s="6">
        <f t="shared" si="12"/>
        <v>4.3713481734278074E-4</v>
      </c>
      <c r="E178" s="4">
        <f t="shared" si="13"/>
        <v>4.8958029088260477E-3</v>
      </c>
      <c r="F178" s="6">
        <f t="shared" si="14"/>
        <v>-4.458668091483267E-3</v>
      </c>
      <c r="G178" s="4">
        <f t="shared" si="17"/>
        <v>1.842605867903133E-2</v>
      </c>
      <c r="H178" s="4">
        <f t="shared" si="15"/>
        <v>-0.24197622341001154</v>
      </c>
      <c r="I178" s="4">
        <f t="shared" si="16"/>
        <v>-0.94821477955255851</v>
      </c>
    </row>
    <row r="179" spans="1:9" x14ac:dyDescent="0.25">
      <c r="A179" s="3">
        <v>40437</v>
      </c>
      <c r="B179" s="4" t="s">
        <v>0</v>
      </c>
      <c r="C179" s="4">
        <v>239.63221609999999</v>
      </c>
      <c r="D179" s="6">
        <f t="shared" si="12"/>
        <v>8.7382288900098785E-4</v>
      </c>
      <c r="E179" s="4">
        <f t="shared" si="13"/>
        <v>2.4843094391502991E-3</v>
      </c>
      <c r="F179" s="6">
        <f t="shared" si="14"/>
        <v>-1.6104865501493113E-3</v>
      </c>
      <c r="G179" s="4">
        <f t="shared" si="17"/>
        <v>1.1977445982048559E-2</v>
      </c>
      <c r="H179" s="4">
        <f t="shared" si="15"/>
        <v>-0.13445993015230967</v>
      </c>
      <c r="I179" s="4">
        <f t="shared" si="16"/>
        <v>-0.92797826961295471</v>
      </c>
    </row>
    <row r="180" spans="1:9" x14ac:dyDescent="0.25">
      <c r="A180" s="3">
        <v>40438</v>
      </c>
      <c r="B180" s="4" t="s">
        <v>0</v>
      </c>
      <c r="C180" s="4">
        <v>244.16025440000001</v>
      </c>
      <c r="D180" s="6">
        <f t="shared" si="12"/>
        <v>1.889578276950225E-2</v>
      </c>
      <c r="E180" s="4">
        <f t="shared" si="13"/>
        <v>-1.0013165805454708E-3</v>
      </c>
      <c r="F180" s="6">
        <f t="shared" si="14"/>
        <v>1.9897099350047721E-2</v>
      </c>
      <c r="G180" s="4">
        <f t="shared" si="17"/>
        <v>8.1888673759012813E-3</v>
      </c>
      <c r="H180" s="4">
        <f t="shared" si="15"/>
        <v>2.4297742821677839</v>
      </c>
      <c r="I180" s="4">
        <f t="shared" si="16"/>
        <v>-3.8708400643466576</v>
      </c>
    </row>
    <row r="181" spans="1:9" x14ac:dyDescent="0.25">
      <c r="A181" s="3">
        <v>40441</v>
      </c>
      <c r="B181" s="4" t="s">
        <v>0</v>
      </c>
      <c r="C181" s="4">
        <v>253.19141289999999</v>
      </c>
      <c r="D181" s="6">
        <f t="shared" si="12"/>
        <v>3.6988651253633258E-2</v>
      </c>
      <c r="E181" s="4">
        <f t="shared" si="13"/>
        <v>4.6829575309696356E-4</v>
      </c>
      <c r="F181" s="6">
        <f t="shared" si="14"/>
        <v>3.6520355500536297E-2</v>
      </c>
      <c r="G181" s="4">
        <f t="shared" si="17"/>
        <v>8.3735724254508842E-2</v>
      </c>
      <c r="H181" s="4">
        <f t="shared" si="15"/>
        <v>0.43613828895221884</v>
      </c>
      <c r="I181" s="4">
        <f t="shared" si="16"/>
        <v>-1.0140468367497573</v>
      </c>
    </row>
    <row r="182" spans="1:9" x14ac:dyDescent="0.25">
      <c r="A182" s="3">
        <v>40442</v>
      </c>
      <c r="B182" s="4" t="s">
        <v>0</v>
      </c>
      <c r="C182" s="4">
        <v>255.77173970000001</v>
      </c>
      <c r="D182" s="6">
        <f t="shared" si="12"/>
        <v>1.019120976673543E-2</v>
      </c>
      <c r="E182" s="4">
        <f t="shared" si="13"/>
        <v>7.4918150167653493E-3</v>
      </c>
      <c r="F182" s="6">
        <f t="shared" si="14"/>
        <v>2.6993947499700808E-3</v>
      </c>
      <c r="G182" s="4">
        <f t="shared" si="17"/>
        <v>3.5656003404795078E-2</v>
      </c>
      <c r="H182" s="4">
        <f t="shared" si="15"/>
        <v>7.5706598951217896E-2</v>
      </c>
      <c r="I182" s="4">
        <f t="shared" si="16"/>
        <v>-0.92180427776705298</v>
      </c>
    </row>
    <row r="183" spans="1:9" x14ac:dyDescent="0.25">
      <c r="A183" s="3">
        <v>40443</v>
      </c>
      <c r="B183" s="4" t="s">
        <v>0</v>
      </c>
      <c r="C183" s="4">
        <v>257.03700070000002</v>
      </c>
      <c r="D183" s="6">
        <f t="shared" si="12"/>
        <v>4.9468365875137751E-3</v>
      </c>
      <c r="E183" s="4">
        <f t="shared" si="13"/>
        <v>1.9927071745682097E-2</v>
      </c>
      <c r="F183" s="6">
        <f t="shared" si="14"/>
        <v>-1.4980235158168322E-2</v>
      </c>
      <c r="G183" s="4">
        <f t="shared" si="17"/>
        <v>1.4724986192661856E-2</v>
      </c>
      <c r="H183" s="4">
        <f t="shared" si="15"/>
        <v>-1.0173344111951472</v>
      </c>
      <c r="I183" s="4">
        <f t="shared" si="16"/>
        <v>-1.4364231853055611</v>
      </c>
    </row>
    <row r="184" spans="1:9" x14ac:dyDescent="0.25">
      <c r="A184" s="3">
        <v>40444</v>
      </c>
      <c r="B184" s="4" t="s">
        <v>0</v>
      </c>
      <c r="C184" s="4">
        <v>255.7817039</v>
      </c>
      <c r="D184" s="6">
        <f t="shared" si="12"/>
        <v>-4.8837202293110357E-3</v>
      </c>
      <c r="E184" s="4">
        <f t="shared" si="13"/>
        <v>1.5223842899389757E-2</v>
      </c>
      <c r="F184" s="6">
        <f t="shared" si="14"/>
        <v>-2.0107563128700792E-2</v>
      </c>
      <c r="G184" s="4">
        <f t="shared" si="17"/>
        <v>3.5770225164197832E-2</v>
      </c>
      <c r="H184" s="4">
        <f t="shared" si="15"/>
        <v>-0.56213129876594436</v>
      </c>
      <c r="I184" s="4">
        <f t="shared" si="16"/>
        <v>-1.0769343317308162</v>
      </c>
    </row>
    <row r="185" spans="1:9" x14ac:dyDescent="0.25">
      <c r="A185" s="3">
        <v>40445</v>
      </c>
      <c r="B185" s="4" t="s">
        <v>0</v>
      </c>
      <c r="C185" s="4">
        <v>262.66094229999999</v>
      </c>
      <c r="D185" s="6">
        <f t="shared" si="12"/>
        <v>2.6894958846194437E-2</v>
      </c>
      <c r="E185" s="4">
        <f t="shared" si="13"/>
        <v>5.0120556785505218E-3</v>
      </c>
      <c r="F185" s="6">
        <f t="shared" si="14"/>
        <v>2.1882903167643915E-2</v>
      </c>
      <c r="G185" s="4">
        <f t="shared" si="17"/>
        <v>2.4180145925620216E-2</v>
      </c>
      <c r="H185" s="4">
        <f t="shared" si="15"/>
        <v>0.90499466938525608</v>
      </c>
      <c r="I185" s="4">
        <f t="shared" si="16"/>
        <v>-1.3284462090125373</v>
      </c>
    </row>
    <row r="186" spans="1:9" x14ac:dyDescent="0.25">
      <c r="A186" s="3">
        <v>40448</v>
      </c>
      <c r="B186" s="4" t="s">
        <v>0</v>
      </c>
      <c r="C186" s="4">
        <v>264.21511390000001</v>
      </c>
      <c r="D186" s="6">
        <f t="shared" si="12"/>
        <v>5.9170259056822777E-3</v>
      </c>
      <c r="E186" s="4">
        <f t="shared" si="13"/>
        <v>-3.5142719549100801E-4</v>
      </c>
      <c r="F186" s="6">
        <f t="shared" si="14"/>
        <v>6.2684531011732852E-3</v>
      </c>
      <c r="G186" s="4">
        <f t="shared" si="17"/>
        <v>3.2831383387813301E-2</v>
      </c>
      <c r="H186" s="4">
        <f t="shared" si="15"/>
        <v>0.19092869243822591</v>
      </c>
      <c r="I186" s="4">
        <f t="shared" si="16"/>
        <v>-0.93716541600275793</v>
      </c>
    </row>
    <row r="187" spans="1:9" x14ac:dyDescent="0.25">
      <c r="A187" s="3">
        <v>40449</v>
      </c>
      <c r="B187" s="4" t="s">
        <v>0</v>
      </c>
      <c r="C187" s="4">
        <v>262.60115839999997</v>
      </c>
      <c r="D187" s="6">
        <f t="shared" si="12"/>
        <v>-6.1084904499856905E-3</v>
      </c>
      <c r="E187" s="4">
        <f t="shared" si="13"/>
        <v>8.7858520325111104E-3</v>
      </c>
      <c r="F187" s="6">
        <f t="shared" si="14"/>
        <v>-1.4894342482496801E-2</v>
      </c>
      <c r="G187" s="4">
        <f t="shared" si="17"/>
        <v>1.4998080763877526E-2</v>
      </c>
      <c r="H187" s="4">
        <f t="shared" si="15"/>
        <v>-0.99308322958024231</v>
      </c>
      <c r="I187" s="4">
        <f t="shared" si="16"/>
        <v>-1.4120456836414348</v>
      </c>
    </row>
    <row r="188" spans="1:9" x14ac:dyDescent="0.25">
      <c r="A188" s="3">
        <v>40450</v>
      </c>
      <c r="B188" s="4" t="s">
        <v>0</v>
      </c>
      <c r="C188" s="4">
        <v>262.86019199999998</v>
      </c>
      <c r="D188" s="6">
        <f t="shared" si="12"/>
        <v>9.8641453669996194E-4</v>
      </c>
      <c r="E188" s="4">
        <f t="shared" si="13"/>
        <v>1.0498474502399961E-2</v>
      </c>
      <c r="F188" s="6">
        <f t="shared" si="14"/>
        <v>-9.5120599656999989E-3</v>
      </c>
      <c r="G188" s="4">
        <f t="shared" si="17"/>
        <v>3.4972463744225732E-2</v>
      </c>
      <c r="H188" s="4">
        <f t="shared" si="15"/>
        <v>-0.2719871277948076</v>
      </c>
      <c r="I188" s="4">
        <f t="shared" si="16"/>
        <v>-0.95592703204770724</v>
      </c>
    </row>
    <row r="189" spans="1:9" x14ac:dyDescent="0.25">
      <c r="A189" s="3">
        <v>40451</v>
      </c>
      <c r="B189" s="4" t="s">
        <v>0</v>
      </c>
      <c r="C189" s="4">
        <v>261.9137485</v>
      </c>
      <c r="D189" s="6">
        <f t="shared" si="12"/>
        <v>-3.6005585052604188E-3</v>
      </c>
      <c r="E189" s="4">
        <f t="shared" si="13"/>
        <v>-5.2302694636170276E-4</v>
      </c>
      <c r="F189" s="6">
        <f t="shared" si="14"/>
        <v>-3.077531558898716E-3</v>
      </c>
      <c r="G189" s="4">
        <f t="shared" si="17"/>
        <v>1.7042376512377472E-2</v>
      </c>
      <c r="H189" s="4">
        <f t="shared" si="15"/>
        <v>-0.180581127090085</v>
      </c>
      <c r="I189" s="4">
        <f t="shared" si="16"/>
        <v>-0.93524330493523533</v>
      </c>
    </row>
    <row r="190" spans="1:9" x14ac:dyDescent="0.25">
      <c r="A190" s="3">
        <v>40452</v>
      </c>
      <c r="B190" s="4" t="s">
        <v>0</v>
      </c>
      <c r="C190" s="4">
        <v>261.8290624</v>
      </c>
      <c r="D190" s="6">
        <f t="shared" si="12"/>
        <v>-3.233358328266566E-4</v>
      </c>
      <c r="E190" s="4">
        <f t="shared" si="13"/>
        <v>-1.4937249477709317E-3</v>
      </c>
      <c r="F190" s="6">
        <f t="shared" si="14"/>
        <v>1.170389114944275E-3</v>
      </c>
      <c r="G190" s="4">
        <f t="shared" si="17"/>
        <v>1.0278528546877008E-2</v>
      </c>
      <c r="H190" s="4">
        <f t="shared" si="15"/>
        <v>0.11386737990817586</v>
      </c>
      <c r="I190" s="4">
        <f t="shared" si="16"/>
        <v>-0.92542142330824906</v>
      </c>
    </row>
    <row r="191" spans="1:9" x14ac:dyDescent="0.25">
      <c r="A191" s="3">
        <v>40455</v>
      </c>
      <c r="B191" s="4" t="s">
        <v>0</v>
      </c>
      <c r="C191" s="4">
        <v>260.20015289999998</v>
      </c>
      <c r="D191" s="6">
        <f t="shared" si="12"/>
        <v>-6.2212707980885329E-3</v>
      </c>
      <c r="E191" s="4">
        <f t="shared" si="13"/>
        <v>-1.074333519759042E-3</v>
      </c>
      <c r="F191" s="6">
        <f t="shared" si="14"/>
        <v>-5.1469372783294904E-3</v>
      </c>
      <c r="G191" s="4">
        <f t="shared" si="17"/>
        <v>7.4501153746409365E-3</v>
      </c>
      <c r="H191" s="4">
        <f t="shared" si="15"/>
        <v>-0.69085336528463503</v>
      </c>
      <c r="I191" s="4">
        <f t="shared" si="16"/>
        <v>-1.1575777193672254</v>
      </c>
    </row>
    <row r="192" spans="1:9" x14ac:dyDescent="0.25">
      <c r="A192" s="3">
        <v>40456</v>
      </c>
      <c r="B192" s="4" t="s">
        <v>0</v>
      </c>
      <c r="C192" s="4">
        <v>268.11050599999999</v>
      </c>
      <c r="D192" s="6">
        <f t="shared" si="12"/>
        <v>3.0401031712844969E-2</v>
      </c>
      <c r="E192" s="4">
        <f t="shared" si="13"/>
        <v>-1.2264080024692817E-3</v>
      </c>
      <c r="F192" s="6">
        <f t="shared" si="14"/>
        <v>3.1627439715314253E-2</v>
      </c>
      <c r="G192" s="4">
        <f t="shared" si="17"/>
        <v>2.4431979671911186E-2</v>
      </c>
      <c r="H192" s="4">
        <f t="shared" si="15"/>
        <v>1.2945099062797396</v>
      </c>
      <c r="I192" s="4">
        <f t="shared" si="16"/>
        <v>-1.7568164819328629</v>
      </c>
    </row>
    <row r="193" spans="1:9" x14ac:dyDescent="0.25">
      <c r="A193" s="3">
        <v>40457</v>
      </c>
      <c r="B193" s="4" t="s">
        <v>0</v>
      </c>
      <c r="C193" s="4">
        <v>266.1777634</v>
      </c>
      <c r="D193" s="6">
        <f t="shared" si="12"/>
        <v>-7.2087536920316855E-3</v>
      </c>
      <c r="E193" s="4">
        <f t="shared" si="13"/>
        <v>-2.4766768199590743E-3</v>
      </c>
      <c r="F193" s="6">
        <f t="shared" si="14"/>
        <v>-4.7320768720726112E-3</v>
      </c>
      <c r="G193" s="4">
        <f t="shared" si="17"/>
        <v>4.5740349742267379E-2</v>
      </c>
      <c r="H193" s="4">
        <f t="shared" si="15"/>
        <v>-0.10345519653296029</v>
      </c>
      <c r="I193" s="4">
        <f t="shared" si="16"/>
        <v>-0.92429002204950939</v>
      </c>
    </row>
    <row r="194" spans="1:9" x14ac:dyDescent="0.25">
      <c r="A194" s="3">
        <v>40458</v>
      </c>
      <c r="B194" s="4" t="s">
        <v>0</v>
      </c>
      <c r="C194" s="4">
        <v>264.01586420000001</v>
      </c>
      <c r="D194" s="6">
        <f t="shared" si="12"/>
        <v>-8.1220127947021197E-3</v>
      </c>
      <c r="E194" s="4">
        <f t="shared" si="13"/>
        <v>9.7162604855355883E-3</v>
      </c>
      <c r="F194" s="6">
        <f t="shared" si="14"/>
        <v>-1.783827328023771E-2</v>
      </c>
      <c r="G194" s="4">
        <f t="shared" si="17"/>
        <v>1.8501750541341153E-2</v>
      </c>
      <c r="H194" s="4">
        <f t="shared" si="15"/>
        <v>-0.96413975749911129</v>
      </c>
      <c r="I194" s="4">
        <f t="shared" si="16"/>
        <v>-1.3837212691998952</v>
      </c>
    </row>
    <row r="195" spans="1:9" x14ac:dyDescent="0.25">
      <c r="A195" s="3">
        <v>40459</v>
      </c>
      <c r="B195" s="4" t="s">
        <v>0</v>
      </c>
      <c r="C195" s="4">
        <v>267.17401169999999</v>
      </c>
      <c r="D195" s="6">
        <f t="shared" si="12"/>
        <v>1.1961961110062659E-2</v>
      </c>
      <c r="E195" s="4">
        <f t="shared" si="13"/>
        <v>6.5544640529822222E-3</v>
      </c>
      <c r="F195" s="6">
        <f t="shared" si="14"/>
        <v>5.4074970570804366E-3</v>
      </c>
      <c r="G195" s="4">
        <f t="shared" si="17"/>
        <v>3.4252438954998854E-2</v>
      </c>
      <c r="H195" s="4">
        <f t="shared" si="15"/>
        <v>0.15787188363972715</v>
      </c>
      <c r="I195" s="4">
        <f t="shared" si="16"/>
        <v>-0.93140029902665056</v>
      </c>
    </row>
    <row r="196" spans="1:9" x14ac:dyDescent="0.25">
      <c r="A196" s="3">
        <v>40462</v>
      </c>
      <c r="B196" s="4" t="s">
        <v>0</v>
      </c>
      <c r="C196" s="4">
        <v>268.41437000000002</v>
      </c>
      <c r="D196" s="6">
        <f t="shared" ref="D196:D259" si="18">(C196-C195)/C195</f>
        <v>4.6425110440486209E-3</v>
      </c>
      <c r="E196" s="4">
        <f t="shared" si="13"/>
        <v>-5.3123342173137817E-3</v>
      </c>
      <c r="F196" s="6">
        <f t="shared" si="14"/>
        <v>9.9548452613624026E-3</v>
      </c>
      <c r="G196" s="4">
        <f t="shared" si="17"/>
        <v>1.5006925577132353E-2</v>
      </c>
      <c r="H196" s="4">
        <f t="shared" si="15"/>
        <v>0.66335007861514672</v>
      </c>
      <c r="I196" s="4">
        <f t="shared" si="16"/>
        <v>-1.1389551966040334</v>
      </c>
    </row>
    <row r="197" spans="1:9" x14ac:dyDescent="0.25">
      <c r="A197" s="3">
        <v>40463</v>
      </c>
      <c r="B197" s="4" t="s">
        <v>0</v>
      </c>
      <c r="C197" s="4">
        <v>269.68460540000001</v>
      </c>
      <c r="D197" s="6">
        <f t="shared" si="18"/>
        <v>4.7323673468003596E-3</v>
      </c>
      <c r="E197" s="4">
        <f t="shared" si="13"/>
        <v>2.0855175951278349E-3</v>
      </c>
      <c r="F197" s="6">
        <f t="shared" si="14"/>
        <v>2.6468497516725247E-3</v>
      </c>
      <c r="G197" s="4">
        <f t="shared" si="17"/>
        <v>2.4034044139069077E-2</v>
      </c>
      <c r="H197" s="4">
        <f t="shared" si="15"/>
        <v>0.11012918742917173</v>
      </c>
      <c r="I197" s="4">
        <f t="shared" si="16"/>
        <v>-0.92500275216657757</v>
      </c>
    </row>
    <row r="198" spans="1:9" x14ac:dyDescent="0.25">
      <c r="A198" s="3">
        <v>40464</v>
      </c>
      <c r="B198" s="4" t="s">
        <v>0</v>
      </c>
      <c r="C198" s="4">
        <v>270.63605360000003</v>
      </c>
      <c r="D198" s="6">
        <f t="shared" si="18"/>
        <v>3.5280033822798836E-3</v>
      </c>
      <c r="E198" s="4">
        <f t="shared" si="13"/>
        <v>5.4382071871247207E-3</v>
      </c>
      <c r="F198" s="6">
        <f t="shared" si="14"/>
        <v>-1.9102038048448371E-3</v>
      </c>
      <c r="G198" s="4">
        <f t="shared" si="17"/>
        <v>1.1103799524649577E-2</v>
      </c>
      <c r="H198" s="4">
        <f t="shared" si="15"/>
        <v>-0.17203154655344166</v>
      </c>
      <c r="I198" s="4">
        <f t="shared" si="16"/>
        <v>-0.93373595970945711</v>
      </c>
    </row>
    <row r="199" spans="1:9" x14ac:dyDescent="0.25">
      <c r="A199" s="3">
        <v>40465</v>
      </c>
      <c r="B199" s="4" t="s">
        <v>0</v>
      </c>
      <c r="C199" s="4">
        <v>269.45547920000001</v>
      </c>
      <c r="D199" s="6">
        <f t="shared" si="18"/>
        <v>-4.3622214568089304E-3</v>
      </c>
      <c r="E199" s="4">
        <f t="shared" ref="E199:E262" si="19">+$M$16*D198+$M$17*D197+$M$18*D196</f>
        <v>3.2309355225175742E-3</v>
      </c>
      <c r="F199" s="6">
        <f t="shared" ref="F199:F262" si="20">D199-E199</f>
        <v>-7.5931569793265047E-3</v>
      </c>
      <c r="G199" s="4">
        <f t="shared" si="17"/>
        <v>8.8163443351211099E-3</v>
      </c>
      <c r="H199" s="4">
        <f t="shared" ref="H199:H262" si="21">F199/G199</f>
        <v>-0.86125912177433095</v>
      </c>
      <c r="I199" s="4">
        <f t="shared" ref="I199:I262" si="22">LN(_xlfn.NORM.DIST(H199,0,1,FALSE))</f>
        <v>-1.2898221706244186</v>
      </c>
    </row>
    <row r="200" spans="1:9" x14ac:dyDescent="0.25">
      <c r="A200" s="3">
        <v>40466</v>
      </c>
      <c r="B200" s="4" t="s">
        <v>0</v>
      </c>
      <c r="C200" s="4">
        <v>299.60253410000001</v>
      </c>
      <c r="D200" s="6">
        <f t="shared" si="18"/>
        <v>0.11188139498779211</v>
      </c>
      <c r="E200" s="4">
        <f t="shared" si="19"/>
        <v>2.7978930948084754E-3</v>
      </c>
      <c r="F200" s="6">
        <f t="shared" si="20"/>
        <v>0.10908350189298363</v>
      </c>
      <c r="G200" s="4">
        <f t="shared" ref="G200:G263" si="23">SQRT($M$12 + $M$13 *H199^2+$M$14*G199^2)</f>
        <v>3.0211473123939861E-2</v>
      </c>
      <c r="H200" s="4">
        <f t="shared" si="21"/>
        <v>3.6106647777643395</v>
      </c>
      <c r="I200" s="4">
        <f t="shared" si="22"/>
        <v>-7.4373886018986761</v>
      </c>
    </row>
    <row r="201" spans="1:9" x14ac:dyDescent="0.25">
      <c r="A201" s="3">
        <v>40469</v>
      </c>
      <c r="B201" s="4" t="s">
        <v>0</v>
      </c>
      <c r="C201" s="4">
        <v>307.70218770000002</v>
      </c>
      <c r="D201" s="6">
        <f t="shared" si="18"/>
        <v>2.7034663189118902E-2</v>
      </c>
      <c r="E201" s="4">
        <f t="shared" si="19"/>
        <v>-5.8489012009074444E-4</v>
      </c>
      <c r="F201" s="6">
        <f t="shared" si="20"/>
        <v>2.7619553309209646E-2</v>
      </c>
      <c r="G201" s="4">
        <f t="shared" si="23"/>
        <v>0.1247589670078596</v>
      </c>
      <c r="H201" s="4">
        <f t="shared" si="21"/>
        <v>0.22138331193035335</v>
      </c>
      <c r="I201" s="4">
        <f t="shared" si="22"/>
        <v>-0.9434438186052988</v>
      </c>
    </row>
    <row r="202" spans="1:9" x14ac:dyDescent="0.25">
      <c r="A202" s="3">
        <v>40470</v>
      </c>
      <c r="B202" s="4" t="s">
        <v>0</v>
      </c>
      <c r="C202" s="4">
        <v>302.78063980000002</v>
      </c>
      <c r="D202" s="6">
        <f t="shared" si="18"/>
        <v>-1.5994517090656378E-2</v>
      </c>
      <c r="E202" s="4">
        <f t="shared" si="19"/>
        <v>4.1434532823095165E-2</v>
      </c>
      <c r="F202" s="6">
        <f t="shared" si="20"/>
        <v>-5.7429049913751543E-2</v>
      </c>
      <c r="G202" s="4">
        <f t="shared" si="23"/>
        <v>4.8485739136172289E-2</v>
      </c>
      <c r="H202" s="4">
        <f t="shared" si="21"/>
        <v>-1.1844523964554186</v>
      </c>
      <c r="I202" s="4">
        <f t="shared" si="22"/>
        <v>-1.6204022729391647</v>
      </c>
    </row>
    <row r="203" spans="1:9" x14ac:dyDescent="0.25">
      <c r="A203" s="3">
        <v>40471</v>
      </c>
      <c r="B203" s="4" t="s">
        <v>0</v>
      </c>
      <c r="C203" s="4">
        <v>302.85534730000001</v>
      </c>
      <c r="D203" s="6">
        <f t="shared" si="18"/>
        <v>2.4673803466871515E-4</v>
      </c>
      <c r="E203" s="4">
        <f t="shared" si="19"/>
        <v>4.4598394699424636E-2</v>
      </c>
      <c r="F203" s="6">
        <f t="shared" si="20"/>
        <v>-4.435165666475592E-2</v>
      </c>
      <c r="G203" s="4">
        <f t="shared" si="23"/>
        <v>4.5003804425029686E-2</v>
      </c>
      <c r="H203" s="4">
        <f t="shared" si="21"/>
        <v>-0.98550905265442268</v>
      </c>
      <c r="I203" s="4">
        <f t="shared" si="22"/>
        <v>-1.4045525796365816</v>
      </c>
    </row>
    <row r="204" spans="1:9" x14ac:dyDescent="0.25">
      <c r="A204" s="3">
        <v>40472</v>
      </c>
      <c r="B204" s="4" t="s">
        <v>0</v>
      </c>
      <c r="C204" s="4">
        <v>304.85284819999998</v>
      </c>
      <c r="D204" s="6">
        <f t="shared" si="18"/>
        <v>6.5955609428989511E-3</v>
      </c>
      <c r="E204" s="4">
        <f t="shared" si="19"/>
        <v>2.1650588672867494E-3</v>
      </c>
      <c r="F204" s="6">
        <f t="shared" si="20"/>
        <v>4.4305020756122016E-3</v>
      </c>
      <c r="G204" s="4">
        <f t="shared" si="23"/>
        <v>3.8310879501297822E-2</v>
      </c>
      <c r="H204" s="4">
        <f t="shared" si="21"/>
        <v>0.1156460549401408</v>
      </c>
      <c r="I204" s="4">
        <f t="shared" si="22"/>
        <v>-0.92562553821628157</v>
      </c>
    </row>
    <row r="205" spans="1:9" x14ac:dyDescent="0.25">
      <c r="A205" s="3">
        <v>40473</v>
      </c>
      <c r="B205" s="4" t="s">
        <v>0</v>
      </c>
      <c r="C205" s="4">
        <v>305.1218609</v>
      </c>
      <c r="D205" s="6">
        <f t="shared" si="18"/>
        <v>8.8243459619420043E-4</v>
      </c>
      <c r="E205" s="4">
        <f t="shared" si="19"/>
        <v>-4.8039015059538623E-3</v>
      </c>
      <c r="F205" s="6">
        <f t="shared" si="20"/>
        <v>5.6863361021480627E-3</v>
      </c>
      <c r="G205" s="4">
        <f t="shared" si="23"/>
        <v>1.5952220465801196E-2</v>
      </c>
      <c r="H205" s="4">
        <f t="shared" si="21"/>
        <v>0.35646047610353587</v>
      </c>
      <c r="I205" s="4">
        <f t="shared" si="22"/>
        <v>-0.98247056871665239</v>
      </c>
    </row>
    <row r="206" spans="1:9" x14ac:dyDescent="0.25">
      <c r="A206" s="3">
        <v>40476</v>
      </c>
      <c r="B206" s="4" t="s">
        <v>0</v>
      </c>
      <c r="C206" s="4">
        <v>307.09943390000001</v>
      </c>
      <c r="D206" s="6">
        <f t="shared" si="18"/>
        <v>6.4812563549752743E-3</v>
      </c>
      <c r="E206" s="4">
        <f t="shared" si="19"/>
        <v>2.5969275920992283E-3</v>
      </c>
      <c r="F206" s="6">
        <f t="shared" si="20"/>
        <v>3.884328762876046E-3</v>
      </c>
      <c r="G206" s="4">
        <f t="shared" si="23"/>
        <v>1.4561350404179696E-2</v>
      </c>
      <c r="H206" s="4">
        <f t="shared" si="21"/>
        <v>0.26675608065589074</v>
      </c>
      <c r="I206" s="4">
        <f t="shared" si="22"/>
        <v>-0.95451793648811878</v>
      </c>
    </row>
    <row r="207" spans="1:9" x14ac:dyDescent="0.25">
      <c r="A207" s="3">
        <v>40477</v>
      </c>
      <c r="B207" s="4" t="s">
        <v>0</v>
      </c>
      <c r="C207" s="4">
        <v>308.14551749999998</v>
      </c>
      <c r="D207" s="6">
        <f t="shared" si="18"/>
        <v>3.406335162247834E-3</v>
      </c>
      <c r="E207" s="4">
        <f t="shared" si="19"/>
        <v>2.3573711616625749E-3</v>
      </c>
      <c r="F207" s="6">
        <f t="shared" si="20"/>
        <v>1.0489640005852592E-3</v>
      </c>
      <c r="G207" s="4">
        <f t="shared" si="23"/>
        <v>1.1822838734984985E-2</v>
      </c>
      <c r="H207" s="4">
        <f t="shared" si="21"/>
        <v>8.8723531133116762E-2</v>
      </c>
      <c r="I207" s="4">
        <f t="shared" si="22"/>
        <v>-0.92287446569303733</v>
      </c>
    </row>
    <row r="208" spans="1:9" x14ac:dyDescent="0.25">
      <c r="A208" s="3">
        <v>40478</v>
      </c>
      <c r="B208" s="4" t="s">
        <v>0</v>
      </c>
      <c r="C208" s="4">
        <v>307.0845109</v>
      </c>
      <c r="D208" s="6">
        <f t="shared" si="18"/>
        <v>-3.4431998511871417E-3</v>
      </c>
      <c r="E208" s="4">
        <f t="shared" si="19"/>
        <v>2.7479652802736348E-3</v>
      </c>
      <c r="F208" s="6">
        <f t="shared" si="20"/>
        <v>-6.1911651314607765E-3</v>
      </c>
      <c r="G208" s="4">
        <f t="shared" si="23"/>
        <v>7.3795650299121867E-3</v>
      </c>
      <c r="H208" s="4">
        <f t="shared" si="21"/>
        <v>-0.83896071196142685</v>
      </c>
      <c r="I208" s="4">
        <f t="shared" si="22"/>
        <v>-1.2708660713120847</v>
      </c>
    </row>
    <row r="209" spans="1:9" x14ac:dyDescent="0.25">
      <c r="A209" s="3">
        <v>40479</v>
      </c>
      <c r="B209" s="4" t="s">
        <v>0</v>
      </c>
      <c r="C209" s="4">
        <v>308.13556870000002</v>
      </c>
      <c r="D209" s="6">
        <f t="shared" si="18"/>
        <v>3.4226988424769286E-3</v>
      </c>
      <c r="E209" s="4">
        <f t="shared" si="19"/>
        <v>3.2870013709655373E-3</v>
      </c>
      <c r="F209" s="6">
        <f t="shared" si="20"/>
        <v>1.3569747151139129E-4</v>
      </c>
      <c r="G209" s="4">
        <f t="shared" si="23"/>
        <v>2.9403018433481039E-2</v>
      </c>
      <c r="H209" s="4">
        <f t="shared" si="21"/>
        <v>4.6150864346931608E-3</v>
      </c>
      <c r="I209" s="4">
        <f t="shared" si="22"/>
        <v>-0.91894918271607251</v>
      </c>
    </row>
    <row r="210" spans="1:9" x14ac:dyDescent="0.25">
      <c r="A210" s="3">
        <v>40480</v>
      </c>
      <c r="B210" s="4" t="s">
        <v>0</v>
      </c>
      <c r="C210" s="4">
        <v>305.70465639999998</v>
      </c>
      <c r="D210" s="6">
        <f t="shared" si="18"/>
        <v>-7.8890999512191175E-3</v>
      </c>
      <c r="E210" s="4">
        <f t="shared" si="19"/>
        <v>-2.7299761070548605E-4</v>
      </c>
      <c r="F210" s="6">
        <f t="shared" si="20"/>
        <v>-7.6161023405136316E-3</v>
      </c>
      <c r="G210" s="4">
        <f t="shared" si="23"/>
        <v>1.2279845433926923E-2</v>
      </c>
      <c r="H210" s="4">
        <f t="shared" si="21"/>
        <v>-0.62021158014511824</v>
      </c>
      <c r="I210" s="4">
        <f t="shared" si="22"/>
        <v>-1.1112697352777248</v>
      </c>
    </row>
    <row r="211" spans="1:9" x14ac:dyDescent="0.25">
      <c r="A211" s="3">
        <v>40483</v>
      </c>
      <c r="B211" s="4" t="s">
        <v>0</v>
      </c>
      <c r="C211" s="4">
        <v>306.35224060000002</v>
      </c>
      <c r="D211" s="6">
        <f t="shared" si="18"/>
        <v>2.118332797498206E-3</v>
      </c>
      <c r="E211" s="4">
        <f t="shared" si="19"/>
        <v>2.5378127996010871E-4</v>
      </c>
      <c r="F211" s="6">
        <f t="shared" si="20"/>
        <v>1.8645515175380973E-3</v>
      </c>
      <c r="G211" s="4">
        <f t="shared" si="23"/>
        <v>2.2390939193852703E-2</v>
      </c>
      <c r="H211" s="4">
        <f t="shared" si="21"/>
        <v>8.327259081878971E-2</v>
      </c>
      <c r="I211" s="4">
        <f t="shared" si="22"/>
        <v>-0.92240569539550943</v>
      </c>
    </row>
    <row r="212" spans="1:9" x14ac:dyDescent="0.25">
      <c r="A212" s="3">
        <v>40484</v>
      </c>
      <c r="B212" s="4" t="s">
        <v>0</v>
      </c>
      <c r="C212" s="4">
        <v>306.65113029999998</v>
      </c>
      <c r="D212" s="6">
        <f t="shared" si="18"/>
        <v>9.7564065278117975E-4</v>
      </c>
      <c r="E212" s="4">
        <f t="shared" si="19"/>
        <v>-1.967587495000906E-3</v>
      </c>
      <c r="F212" s="6">
        <f t="shared" si="20"/>
        <v>2.9432281477820856E-3</v>
      </c>
      <c r="G212" s="4">
        <f t="shared" si="23"/>
        <v>1.0297572201177748E-2</v>
      </c>
      <c r="H212" s="4">
        <f t="shared" si="21"/>
        <v>0.28581767530073393</v>
      </c>
      <c r="I212" s="4">
        <f t="shared" si="22"/>
        <v>-0.9597844049618306</v>
      </c>
    </row>
    <row r="213" spans="1:9" x14ac:dyDescent="0.25">
      <c r="A213" s="3">
        <v>40485</v>
      </c>
      <c r="B213" s="4" t="s">
        <v>0</v>
      </c>
      <c r="C213" s="4">
        <v>308.93256689999998</v>
      </c>
      <c r="D213" s="6">
        <f t="shared" si="18"/>
        <v>7.43984409177965E-3</v>
      </c>
      <c r="E213" s="4">
        <f t="shared" si="19"/>
        <v>-1.6062401951366786E-3</v>
      </c>
      <c r="F213" s="6">
        <f t="shared" si="20"/>
        <v>9.0460842869163286E-3</v>
      </c>
      <c r="G213" s="4">
        <f t="shared" si="23"/>
        <v>1.1695369001524021E-2</v>
      </c>
      <c r="H213" s="4">
        <f t="shared" si="21"/>
        <v>0.77347574802791907</v>
      </c>
      <c r="I213" s="4">
        <f t="shared" si="22"/>
        <v>-1.2180708995983474</v>
      </c>
    </row>
    <row r="214" spans="1:9" x14ac:dyDescent="0.25">
      <c r="A214" s="3">
        <v>40486</v>
      </c>
      <c r="B214" s="4" t="s">
        <v>0</v>
      </c>
      <c r="C214" s="4">
        <v>310.96995479999998</v>
      </c>
      <c r="D214" s="6">
        <f t="shared" si="18"/>
        <v>6.5949275611965237E-3</v>
      </c>
      <c r="E214" s="4">
        <f t="shared" si="19"/>
        <v>1.0218600481968799E-3</v>
      </c>
      <c r="F214" s="6">
        <f t="shared" si="20"/>
        <v>5.5730675129996438E-3</v>
      </c>
      <c r="G214" s="4">
        <f t="shared" si="23"/>
        <v>2.7418011381486588E-2</v>
      </c>
      <c r="H214" s="4">
        <f t="shared" si="21"/>
        <v>0.20326300968576938</v>
      </c>
      <c r="I214" s="4">
        <f t="shared" si="22"/>
        <v>-0.93959645875793119</v>
      </c>
    </row>
    <row r="215" spans="1:9" x14ac:dyDescent="0.25">
      <c r="A215" s="3">
        <v>40487</v>
      </c>
      <c r="B215" s="4" t="s">
        <v>0</v>
      </c>
      <c r="C215" s="4">
        <v>311.37342799999999</v>
      </c>
      <c r="D215" s="6">
        <f t="shared" si="18"/>
        <v>1.297466825242011E-3</v>
      </c>
      <c r="E215" s="4">
        <f t="shared" si="19"/>
        <v>3.1430217832388338E-3</v>
      </c>
      <c r="F215" s="6">
        <f t="shared" si="20"/>
        <v>-1.8455549579968228E-3</v>
      </c>
      <c r="G215" s="4">
        <f t="shared" si="23"/>
        <v>1.3533672916754863E-2</v>
      </c>
      <c r="H215" s="4">
        <f t="shared" si="21"/>
        <v>-0.13636763422234047</v>
      </c>
      <c r="I215" s="4">
        <f t="shared" si="22"/>
        <v>-0.92823659903637168</v>
      </c>
    </row>
    <row r="216" spans="1:9" x14ac:dyDescent="0.25">
      <c r="A216" s="3">
        <v>40490</v>
      </c>
      <c r="B216" s="4" t="s">
        <v>0</v>
      </c>
      <c r="C216" s="4">
        <v>312.21528749999999</v>
      </c>
      <c r="D216" s="6">
        <f t="shared" si="18"/>
        <v>2.7036973109985422E-3</v>
      </c>
      <c r="E216" s="4">
        <f t="shared" si="19"/>
        <v>4.7995984061627583E-3</v>
      </c>
      <c r="F216" s="6">
        <f t="shared" si="20"/>
        <v>-2.0959010951642162E-3</v>
      </c>
      <c r="G216" s="4">
        <f t="shared" si="23"/>
        <v>8.5705032803504791E-3</v>
      </c>
      <c r="H216" s="4">
        <f t="shared" si="21"/>
        <v>-0.24454819356635346</v>
      </c>
      <c r="I216" s="4">
        <f t="shared" si="22"/>
        <v>-0.94884044269295598</v>
      </c>
    </row>
    <row r="217" spans="1:9" x14ac:dyDescent="0.25">
      <c r="A217" s="3">
        <v>40491</v>
      </c>
      <c r="B217" s="4" t="s">
        <v>0</v>
      </c>
      <c r="C217" s="4">
        <v>311.2439114</v>
      </c>
      <c r="D217" s="6">
        <f t="shared" si="18"/>
        <v>-3.1112381068143127E-3</v>
      </c>
      <c r="E217" s="4">
        <f t="shared" si="19"/>
        <v>2.515759831045876E-3</v>
      </c>
      <c r="F217" s="6">
        <f t="shared" si="20"/>
        <v>-5.6269979378601887E-3</v>
      </c>
      <c r="G217" s="4">
        <f t="shared" si="23"/>
        <v>1.0303683243083362E-2</v>
      </c>
      <c r="H217" s="4">
        <f t="shared" si="21"/>
        <v>-0.5461151905691074</v>
      </c>
      <c r="I217" s="4">
        <f t="shared" si="22"/>
        <v>-1.0680594338898388</v>
      </c>
    </row>
    <row r="218" spans="1:9" x14ac:dyDescent="0.25">
      <c r="A218" s="3">
        <v>40492</v>
      </c>
      <c r="B218" s="4" t="s">
        <v>0</v>
      </c>
      <c r="C218" s="4">
        <v>310.27754010000001</v>
      </c>
      <c r="D218" s="6">
        <f t="shared" si="18"/>
        <v>-3.1048681262652697E-3</v>
      </c>
      <c r="E218" s="4">
        <f t="shared" si="19"/>
        <v>1.430857151826405E-3</v>
      </c>
      <c r="F218" s="6">
        <f t="shared" si="20"/>
        <v>-4.5357252780916747E-3</v>
      </c>
      <c r="G218" s="4">
        <f t="shared" si="23"/>
        <v>1.9817134932673102E-2</v>
      </c>
      <c r="H218" s="4">
        <f t="shared" si="21"/>
        <v>-0.22887896224663076</v>
      </c>
      <c r="I218" s="4">
        <f t="shared" si="22"/>
        <v>-0.94513132288421997</v>
      </c>
    </row>
    <row r="219" spans="1:9" x14ac:dyDescent="0.25">
      <c r="A219" s="3">
        <v>40493</v>
      </c>
      <c r="B219" s="4" t="s">
        <v>0</v>
      </c>
      <c r="C219" s="4">
        <v>307.44315410000002</v>
      </c>
      <c r="D219" s="6">
        <f t="shared" si="18"/>
        <v>-9.13500216318105E-3</v>
      </c>
      <c r="E219" s="4">
        <f t="shared" si="19"/>
        <v>-3.6141048343911063E-4</v>
      </c>
      <c r="F219" s="6">
        <f t="shared" si="20"/>
        <v>-8.7735916797419388E-3</v>
      </c>
      <c r="G219" s="4">
        <f t="shared" si="23"/>
        <v>1.1996813716687888E-2</v>
      </c>
      <c r="H219" s="4">
        <f t="shared" si="21"/>
        <v>-0.73132682451654962</v>
      </c>
      <c r="I219" s="4">
        <f t="shared" si="22"/>
        <v>-1.1863579953334029</v>
      </c>
    </row>
    <row r="220" spans="1:9" x14ac:dyDescent="0.25">
      <c r="A220" s="3">
        <v>40494</v>
      </c>
      <c r="B220" s="4" t="s">
        <v>0</v>
      </c>
      <c r="C220" s="4">
        <v>300.5191006</v>
      </c>
      <c r="D220" s="6">
        <f t="shared" si="18"/>
        <v>-2.2521410568627828E-2</v>
      </c>
      <c r="E220" s="4">
        <f t="shared" si="19"/>
        <v>-2.1399328108399002E-3</v>
      </c>
      <c r="F220" s="6">
        <f t="shared" si="20"/>
        <v>-2.0381477757787928E-2</v>
      </c>
      <c r="G220" s="4">
        <f t="shared" si="23"/>
        <v>2.6035196872446622E-2</v>
      </c>
      <c r="H220" s="4">
        <f t="shared" si="21"/>
        <v>-0.78284323554925384</v>
      </c>
      <c r="I220" s="4">
        <f t="shared" si="22"/>
        <v>-1.2253602989272849</v>
      </c>
    </row>
    <row r="221" spans="1:9" x14ac:dyDescent="0.25">
      <c r="A221" s="3">
        <v>40497</v>
      </c>
      <c r="B221" s="4" t="s">
        <v>0</v>
      </c>
      <c r="C221" s="4">
        <v>296.62367760000001</v>
      </c>
      <c r="D221" s="6">
        <f t="shared" si="18"/>
        <v>-1.2962314183100527E-2</v>
      </c>
      <c r="E221" s="4">
        <f t="shared" si="19"/>
        <v>-4.4434446395850043E-3</v>
      </c>
      <c r="F221" s="6">
        <f t="shared" si="20"/>
        <v>-8.5188695435155226E-3</v>
      </c>
      <c r="G221" s="4">
        <f t="shared" si="23"/>
        <v>2.9117354932804627E-2</v>
      </c>
      <c r="H221" s="4">
        <f t="shared" si="21"/>
        <v>-0.29257017209066155</v>
      </c>
      <c r="I221" s="4">
        <f t="shared" si="22"/>
        <v>-0.96173718600325231</v>
      </c>
    </row>
    <row r="222" spans="1:9" x14ac:dyDescent="0.25">
      <c r="A222" s="3">
        <v>40498</v>
      </c>
      <c r="B222" s="4" t="s">
        <v>0</v>
      </c>
      <c r="C222" s="4">
        <v>290.77060990000001</v>
      </c>
      <c r="D222" s="6">
        <f t="shared" si="18"/>
        <v>-1.9732301033273943E-2</v>
      </c>
      <c r="E222" s="4">
        <f t="shared" si="19"/>
        <v>-1.1407341071089701E-2</v>
      </c>
      <c r="F222" s="6">
        <f t="shared" si="20"/>
        <v>-8.3249599621842418E-3</v>
      </c>
      <c r="G222" s="4">
        <f t="shared" si="23"/>
        <v>1.5795323241088021E-2</v>
      </c>
      <c r="H222" s="4">
        <f t="shared" si="21"/>
        <v>-0.52705220622068116</v>
      </c>
      <c r="I222" s="4">
        <f t="shared" si="22"/>
        <v>-1.0578305472457163</v>
      </c>
    </row>
    <row r="223" spans="1:9" x14ac:dyDescent="0.25">
      <c r="A223" s="3">
        <v>40499</v>
      </c>
      <c r="B223" s="4" t="s">
        <v>0</v>
      </c>
      <c r="C223" s="4">
        <v>290.68592330000001</v>
      </c>
      <c r="D223" s="6">
        <f t="shared" si="18"/>
        <v>-2.9124883023467401E-4</v>
      </c>
      <c r="E223" s="4">
        <f t="shared" si="19"/>
        <v>-1.1852849774765455E-2</v>
      </c>
      <c r="F223" s="6">
        <f t="shared" si="20"/>
        <v>1.1561600944530782E-2</v>
      </c>
      <c r="G223" s="4">
        <f t="shared" si="23"/>
        <v>1.9733927382765672E-2</v>
      </c>
      <c r="H223" s="4">
        <f t="shared" si="21"/>
        <v>0.58587430268076957</v>
      </c>
      <c r="I223" s="4">
        <f t="shared" si="22"/>
        <v>-1.0905628824755116</v>
      </c>
    </row>
    <row r="224" spans="1:9" x14ac:dyDescent="0.25">
      <c r="A224" s="3">
        <v>40500</v>
      </c>
      <c r="B224" s="4" t="s">
        <v>0</v>
      </c>
      <c r="C224" s="4">
        <v>297.16664750000001</v>
      </c>
      <c r="D224" s="6">
        <f t="shared" si="18"/>
        <v>2.2294592481217672E-2</v>
      </c>
      <c r="E224" s="4">
        <f t="shared" si="19"/>
        <v>-1.1512991810689873E-2</v>
      </c>
      <c r="F224" s="6">
        <f t="shared" si="20"/>
        <v>3.3807584291907541E-2</v>
      </c>
      <c r="G224" s="4">
        <f t="shared" si="23"/>
        <v>2.2072289712101453E-2</v>
      </c>
      <c r="H224" s="4">
        <f t="shared" si="21"/>
        <v>1.5316754506611991</v>
      </c>
      <c r="I224" s="4">
        <f t="shared" si="22"/>
        <v>-2.0919533762837661</v>
      </c>
    </row>
    <row r="225" spans="1:9" x14ac:dyDescent="0.25">
      <c r="A225" s="3">
        <v>40501</v>
      </c>
      <c r="B225" s="4" t="s">
        <v>0</v>
      </c>
      <c r="C225" s="4">
        <v>294.312364</v>
      </c>
      <c r="D225" s="6">
        <f t="shared" si="18"/>
        <v>-9.6049927675682656E-3</v>
      </c>
      <c r="E225" s="4">
        <f t="shared" si="19"/>
        <v>-6.1539533215787326E-3</v>
      </c>
      <c r="F225" s="6">
        <f t="shared" si="20"/>
        <v>-3.451039445989533E-3</v>
      </c>
      <c r="G225" s="4">
        <f t="shared" si="23"/>
        <v>5.3556680239846492E-2</v>
      </c>
      <c r="H225" s="4">
        <f t="shared" si="21"/>
        <v>-6.4437142678271137E-2</v>
      </c>
      <c r="I225" s="4">
        <f t="shared" si="22"/>
        <v>-0.92101460588294259</v>
      </c>
    </row>
    <row r="226" spans="1:9" x14ac:dyDescent="0.25">
      <c r="A226" s="3">
        <v>40504</v>
      </c>
      <c r="B226" s="4" t="s">
        <v>0</v>
      </c>
      <c r="C226" s="4">
        <v>294.5066084</v>
      </c>
      <c r="D226" s="6">
        <f t="shared" si="18"/>
        <v>6.5999401914355969E-4</v>
      </c>
      <c r="E226" s="4">
        <f t="shared" si="19"/>
        <v>8.4333716621340146E-3</v>
      </c>
      <c r="F226" s="6">
        <f t="shared" si="20"/>
        <v>-7.7733776429904549E-3</v>
      </c>
      <c r="G226" s="4">
        <f t="shared" si="23"/>
        <v>2.1158326219482482E-2</v>
      </c>
      <c r="H226" s="4">
        <f t="shared" si="21"/>
        <v>-0.36739095344095635</v>
      </c>
      <c r="I226" s="4">
        <f t="shared" si="22"/>
        <v>-0.98642658953980011</v>
      </c>
    </row>
    <row r="227" spans="1:9" x14ac:dyDescent="0.25">
      <c r="A227" s="3">
        <v>40505</v>
      </c>
      <c r="B227" s="4" t="s">
        <v>0</v>
      </c>
      <c r="C227" s="4">
        <v>290.41694100000001</v>
      </c>
      <c r="D227" s="6">
        <f t="shared" si="18"/>
        <v>-1.3886504694133703E-2</v>
      </c>
      <c r="E227" s="4">
        <f t="shared" si="19"/>
        <v>3.1559923491649199E-3</v>
      </c>
      <c r="F227" s="6">
        <f t="shared" si="20"/>
        <v>-1.7042497043298622E-2</v>
      </c>
      <c r="G227" s="4">
        <f t="shared" si="23"/>
        <v>1.5796752987524181E-2</v>
      </c>
      <c r="H227" s="4">
        <f t="shared" si="21"/>
        <v>-1.0788607669410475</v>
      </c>
      <c r="I227" s="4">
        <f t="shared" si="22"/>
        <v>-1.5009088104269852</v>
      </c>
    </row>
    <row r="228" spans="1:9" x14ac:dyDescent="0.25">
      <c r="A228" s="3">
        <v>40506</v>
      </c>
      <c r="B228" s="4" t="s">
        <v>0</v>
      </c>
      <c r="C228" s="4">
        <v>296.37462319999997</v>
      </c>
      <c r="D228" s="6">
        <f t="shared" si="18"/>
        <v>2.0514237838487409E-2</v>
      </c>
      <c r="E228" s="4">
        <f t="shared" si="19"/>
        <v>-2.6895260175187818E-3</v>
      </c>
      <c r="F228" s="6">
        <f t="shared" si="20"/>
        <v>2.3203763856006192E-2</v>
      </c>
      <c r="G228" s="4">
        <f t="shared" si="23"/>
        <v>3.7903748615397581E-2</v>
      </c>
      <c r="H228" s="4">
        <f t="shared" si="21"/>
        <v>0.61217596421532205</v>
      </c>
      <c r="I228" s="4">
        <f t="shared" si="22"/>
        <v>-1.1063182387861523</v>
      </c>
    </row>
    <row r="229" spans="1:9" x14ac:dyDescent="0.25">
      <c r="A229" s="3">
        <v>40508</v>
      </c>
      <c r="B229" s="4" t="s">
        <v>0</v>
      </c>
      <c r="C229" s="4">
        <v>293.89891069999999</v>
      </c>
      <c r="D229" s="6">
        <f t="shared" si="18"/>
        <v>-8.3533214594061992E-3</v>
      </c>
      <c r="E229" s="4">
        <f t="shared" si="19"/>
        <v>-5.1059872283645601E-3</v>
      </c>
      <c r="F229" s="6">
        <f t="shared" si="20"/>
        <v>-3.2473342310416391E-3</v>
      </c>
      <c r="G229" s="4">
        <f t="shared" si="23"/>
        <v>2.6019931913721234E-2</v>
      </c>
      <c r="H229" s="4">
        <f t="shared" si="21"/>
        <v>-0.12480179586208696</v>
      </c>
      <c r="I229" s="4">
        <f t="shared" si="22"/>
        <v>-0.92672627732987367</v>
      </c>
    </row>
    <row r="230" spans="1:9" x14ac:dyDescent="0.25">
      <c r="A230" s="3">
        <v>40511</v>
      </c>
      <c r="B230" s="4" t="s">
        <v>0</v>
      </c>
      <c r="C230" s="4">
        <v>289.96863689999998</v>
      </c>
      <c r="D230" s="6">
        <f t="shared" si="18"/>
        <v>-1.33728763765711E-2</v>
      </c>
      <c r="E230" s="4">
        <f t="shared" si="19"/>
        <v>3.5892269338542448E-3</v>
      </c>
      <c r="F230" s="6">
        <f t="shared" si="20"/>
        <v>-1.6962103310425344E-2</v>
      </c>
      <c r="G230" s="4">
        <f t="shared" si="23"/>
        <v>1.1910216393949397E-2</v>
      </c>
      <c r="H230" s="4">
        <f t="shared" si="21"/>
        <v>-1.4241641586833298</v>
      </c>
      <c r="I230" s="4">
        <f t="shared" si="22"/>
        <v>-1.9330603086437712</v>
      </c>
    </row>
    <row r="231" spans="1:9" x14ac:dyDescent="0.25">
      <c r="A231" s="3">
        <v>40512</v>
      </c>
      <c r="B231" s="4" t="s">
        <v>0</v>
      </c>
      <c r="C231" s="4">
        <v>276.8178881</v>
      </c>
      <c r="D231" s="6">
        <f t="shared" si="18"/>
        <v>-4.5352314445424681E-2</v>
      </c>
      <c r="E231" s="4">
        <f t="shared" si="19"/>
        <v>3.0889620699921937E-3</v>
      </c>
      <c r="F231" s="6">
        <f t="shared" si="20"/>
        <v>-4.8441276515416874E-2</v>
      </c>
      <c r="G231" s="4">
        <f t="shared" si="23"/>
        <v>4.9420999714833588E-2</v>
      </c>
      <c r="H231" s="4">
        <f t="shared" si="21"/>
        <v>-0.98017597367374476</v>
      </c>
      <c r="I231" s="4">
        <f t="shared" si="22"/>
        <v>-1.3993110028883096</v>
      </c>
    </row>
    <row r="232" spans="1:9" x14ac:dyDescent="0.25">
      <c r="A232" s="3">
        <v>40513</v>
      </c>
      <c r="B232" s="4" t="s">
        <v>0</v>
      </c>
      <c r="C232" s="4">
        <v>281.12175910000002</v>
      </c>
      <c r="D232" s="6">
        <f t="shared" si="18"/>
        <v>1.5547662145465284E-2</v>
      </c>
      <c r="E232" s="4">
        <f t="shared" si="19"/>
        <v>-7.6713029413055609E-3</v>
      </c>
      <c r="F232" s="6">
        <f t="shared" si="20"/>
        <v>2.3218965086770845E-2</v>
      </c>
      <c r="G232" s="4">
        <f t="shared" si="23"/>
        <v>3.8937318976191959E-2</v>
      </c>
      <c r="H232" s="4">
        <f t="shared" si="21"/>
        <v>0.59631648242057889</v>
      </c>
      <c r="I232" s="4">
        <f t="shared" si="22"/>
        <v>-1.096735206807899</v>
      </c>
    </row>
    <row r="233" spans="1:9" x14ac:dyDescent="0.25">
      <c r="A233" s="3">
        <v>40514</v>
      </c>
      <c r="B233" s="4" t="s">
        <v>0</v>
      </c>
      <c r="C233" s="4">
        <v>284.8428346</v>
      </c>
      <c r="D233" s="6">
        <f t="shared" si="18"/>
        <v>1.3236526094290449E-2</v>
      </c>
      <c r="E233" s="4">
        <f t="shared" si="19"/>
        <v>-2.1432409282480688E-2</v>
      </c>
      <c r="F233" s="6">
        <f t="shared" si="20"/>
        <v>3.466893537677114E-2</v>
      </c>
      <c r="G233" s="4">
        <f t="shared" si="23"/>
        <v>2.5806198408640103E-2</v>
      </c>
      <c r="H233" s="4">
        <f t="shared" si="21"/>
        <v>1.343434427178694</v>
      </c>
      <c r="I233" s="4">
        <f t="shared" si="22"/>
        <v>-1.8213465632691455</v>
      </c>
    </row>
    <row r="234" spans="1:9" x14ac:dyDescent="0.25">
      <c r="A234" s="3">
        <v>40515</v>
      </c>
      <c r="B234" s="4" t="s">
        <v>0</v>
      </c>
      <c r="C234" s="4">
        <v>285.43063489999997</v>
      </c>
      <c r="D234" s="6">
        <f t="shared" si="18"/>
        <v>2.0635951781107905E-3</v>
      </c>
      <c r="E234" s="4">
        <f t="shared" si="19"/>
        <v>-7.9454337769088411E-3</v>
      </c>
      <c r="F234" s="6">
        <f t="shared" si="20"/>
        <v>1.0009028955019632E-2</v>
      </c>
      <c r="G234" s="4">
        <f t="shared" si="23"/>
        <v>4.7484348896952425E-2</v>
      </c>
      <c r="H234" s="4">
        <f t="shared" si="21"/>
        <v>0.21078585233927508</v>
      </c>
      <c r="I234" s="4">
        <f t="shared" si="22"/>
        <v>-0.94115387097787007</v>
      </c>
    </row>
    <row r="235" spans="1:9" x14ac:dyDescent="0.25">
      <c r="A235" s="3">
        <v>40518</v>
      </c>
      <c r="B235" s="4" t="s">
        <v>0</v>
      </c>
      <c r="C235" s="4">
        <v>288.10062210000001</v>
      </c>
      <c r="D235" s="6">
        <f t="shared" si="18"/>
        <v>9.354241884146252E-3</v>
      </c>
      <c r="E235" s="4">
        <f t="shared" si="19"/>
        <v>9.8215960315594028E-3</v>
      </c>
      <c r="F235" s="6">
        <f t="shared" si="20"/>
        <v>-4.6735414741315082E-4</v>
      </c>
      <c r="G235" s="4">
        <f t="shared" si="23"/>
        <v>2.0146128084081994E-2</v>
      </c>
      <c r="H235" s="4">
        <f t="shared" si="21"/>
        <v>-2.3198211858010576E-2</v>
      </c>
      <c r="I235" s="4">
        <f t="shared" si="22"/>
        <v>-0.91920761172137722</v>
      </c>
    </row>
    <row r="236" spans="1:9" x14ac:dyDescent="0.25">
      <c r="A236" s="3">
        <v>40519</v>
      </c>
      <c r="B236" s="4" t="s">
        <v>0</v>
      </c>
      <c r="C236" s="4">
        <v>292.4742258</v>
      </c>
      <c r="D236" s="6">
        <f t="shared" si="18"/>
        <v>1.5180820048635326E-2</v>
      </c>
      <c r="E236" s="4">
        <f t="shared" si="19"/>
        <v>4.8427720326787091E-3</v>
      </c>
      <c r="F236" s="6">
        <f t="shared" si="20"/>
        <v>1.0338048015956617E-2</v>
      </c>
      <c r="G236" s="4">
        <f t="shared" si="23"/>
        <v>9.1959873924236483E-3</v>
      </c>
      <c r="H236" s="4">
        <f t="shared" si="21"/>
        <v>1.1241911906571211</v>
      </c>
      <c r="I236" s="4">
        <f t="shared" si="22"/>
        <v>-1.5508414497802105</v>
      </c>
    </row>
    <row r="237" spans="1:9" x14ac:dyDescent="0.25">
      <c r="A237" s="3">
        <v>40520</v>
      </c>
      <c r="B237" s="4" t="s">
        <v>0</v>
      </c>
      <c r="C237" s="4">
        <v>294.16789349999999</v>
      </c>
      <c r="D237" s="6">
        <f t="shared" si="18"/>
        <v>5.7908271929512081E-3</v>
      </c>
      <c r="E237" s="4">
        <f t="shared" si="19"/>
        <v>4.2082164718658666E-3</v>
      </c>
      <c r="F237" s="6">
        <f t="shared" si="20"/>
        <v>1.5826107210853415E-3</v>
      </c>
      <c r="G237" s="4">
        <f t="shared" si="23"/>
        <v>3.912383820902135E-2</v>
      </c>
      <c r="H237" s="4">
        <f t="shared" si="21"/>
        <v>4.0451315451979761E-2</v>
      </c>
      <c r="I237" s="4">
        <f t="shared" si="22"/>
        <v>-0.91975668766557062</v>
      </c>
    </row>
    <row r="238" spans="1:9" x14ac:dyDescent="0.25">
      <c r="A238" s="3">
        <v>40521</v>
      </c>
      <c r="B238" s="4" t="s">
        <v>0</v>
      </c>
      <c r="C238" s="4">
        <v>294.6461046</v>
      </c>
      <c r="D238" s="6">
        <f t="shared" si="18"/>
        <v>1.6256400190730197E-3</v>
      </c>
      <c r="E238" s="4">
        <f t="shared" si="19"/>
        <v>8.6681850919920114E-3</v>
      </c>
      <c r="F238" s="6">
        <f t="shared" si="20"/>
        <v>-7.0425450729189919E-3</v>
      </c>
      <c r="G238" s="4">
        <f t="shared" si="23"/>
        <v>1.5804278232320196E-2</v>
      </c>
      <c r="H238" s="4">
        <f t="shared" si="21"/>
        <v>-0.44561004111638508</v>
      </c>
      <c r="I238" s="4">
        <f t="shared" si="22"/>
        <v>-1.0182226875765459</v>
      </c>
    </row>
    <row r="239" spans="1:9" x14ac:dyDescent="0.25">
      <c r="A239" s="3">
        <v>40522</v>
      </c>
      <c r="B239" s="4" t="s">
        <v>0</v>
      </c>
      <c r="C239" s="4">
        <v>294.99977339999998</v>
      </c>
      <c r="D239" s="6">
        <f t="shared" si="18"/>
        <v>1.2003172432233809E-3</v>
      </c>
      <c r="E239" s="4">
        <f t="shared" si="19"/>
        <v>6.8629051211111089E-3</v>
      </c>
      <c r="F239" s="6">
        <f t="shared" si="20"/>
        <v>-5.662587877887728E-3</v>
      </c>
      <c r="G239" s="4">
        <f t="shared" si="23"/>
        <v>1.7200348759434061E-2</v>
      </c>
      <c r="H239" s="4">
        <f t="shared" si="21"/>
        <v>-0.32921355009048331</v>
      </c>
      <c r="I239" s="4">
        <f t="shared" si="22"/>
        <v>-0.97312931398626235</v>
      </c>
    </row>
    <row r="240" spans="1:9" x14ac:dyDescent="0.25">
      <c r="A240" s="3">
        <v>40525</v>
      </c>
      <c r="B240" s="4" t="s">
        <v>0</v>
      </c>
      <c r="C240" s="4">
        <v>296.2002761</v>
      </c>
      <c r="D240" s="6">
        <f t="shared" si="18"/>
        <v>4.069503803896873E-3</v>
      </c>
      <c r="E240" s="4">
        <f t="shared" si="19"/>
        <v>2.3949260383396421E-3</v>
      </c>
      <c r="F240" s="6">
        <f t="shared" si="20"/>
        <v>1.6745777655572309E-3</v>
      </c>
      <c r="G240" s="4">
        <f t="shared" si="23"/>
        <v>1.3999421051052393E-2</v>
      </c>
      <c r="H240" s="4">
        <f t="shared" si="21"/>
        <v>0.11961764414760181</v>
      </c>
      <c r="I240" s="4">
        <f t="shared" si="22"/>
        <v>-0.92609272360038386</v>
      </c>
    </row>
    <row r="241" spans="1:9" x14ac:dyDescent="0.25">
      <c r="A241" s="3">
        <v>40526</v>
      </c>
      <c r="B241" s="4" t="s">
        <v>0</v>
      </c>
      <c r="C241" s="4">
        <v>296.34474660000001</v>
      </c>
      <c r="D241" s="6">
        <f t="shared" si="18"/>
        <v>4.8774600045017066E-4</v>
      </c>
      <c r="E241" s="4">
        <f t="shared" si="19"/>
        <v>9.5679357875139994E-4</v>
      </c>
      <c r="F241" s="6">
        <f t="shared" si="20"/>
        <v>-4.6904757830122927E-4</v>
      </c>
      <c r="G241" s="4">
        <f t="shared" si="23"/>
        <v>8.3818225400970371E-3</v>
      </c>
      <c r="H241" s="4">
        <f t="shared" si="21"/>
        <v>-5.5960094127189559E-2</v>
      </c>
      <c r="I241" s="4">
        <f t="shared" si="22"/>
        <v>-0.92050429927203459</v>
      </c>
    </row>
    <row r="242" spans="1:9" x14ac:dyDescent="0.25">
      <c r="A242" s="3">
        <v>40527</v>
      </c>
      <c r="B242" s="4" t="s">
        <v>0</v>
      </c>
      <c r="C242" s="4">
        <v>294.04835559999998</v>
      </c>
      <c r="D242" s="6">
        <f t="shared" si="18"/>
        <v>-7.7490525016785574E-3</v>
      </c>
      <c r="E242" s="4">
        <f t="shared" si="19"/>
        <v>1.9232962945854516E-3</v>
      </c>
      <c r="F242" s="6">
        <f t="shared" si="20"/>
        <v>-9.6723487962640086E-3</v>
      </c>
      <c r="G242" s="4">
        <f t="shared" si="23"/>
        <v>6.2228994325999581E-3</v>
      </c>
      <c r="H242" s="4">
        <f t="shared" si="21"/>
        <v>-1.5543154603452838</v>
      </c>
      <c r="I242" s="4">
        <f t="shared" si="22"/>
        <v>-2.1268868083388583</v>
      </c>
    </row>
    <row r="243" spans="1:9" x14ac:dyDescent="0.25">
      <c r="A243" s="3">
        <v>40528</v>
      </c>
      <c r="B243" s="4" t="s">
        <v>0</v>
      </c>
      <c r="C243" s="4">
        <v>294.75071889999998</v>
      </c>
      <c r="D243" s="6">
        <f t="shared" si="18"/>
        <v>2.3885979520845918E-3</v>
      </c>
      <c r="E243" s="4">
        <f t="shared" si="19"/>
        <v>1.4325947193034364E-3</v>
      </c>
      <c r="F243" s="6">
        <f t="shared" si="20"/>
        <v>9.5600323278115544E-4</v>
      </c>
      <c r="G243" s="4">
        <f t="shared" si="23"/>
        <v>5.3717177675894068E-2</v>
      </c>
      <c r="H243" s="4">
        <f t="shared" si="21"/>
        <v>1.7796974341229548E-2</v>
      </c>
      <c r="I243" s="4">
        <f t="shared" si="22"/>
        <v>-0.91909689935252381</v>
      </c>
    </row>
    <row r="244" spans="1:9" x14ac:dyDescent="0.25">
      <c r="A244" s="3">
        <v>40529</v>
      </c>
      <c r="B244" s="4" t="s">
        <v>0</v>
      </c>
      <c r="C244" s="4">
        <v>294.29741009999998</v>
      </c>
      <c r="D244" s="6">
        <f t="shared" si="18"/>
        <v>-1.5379395907556583E-3</v>
      </c>
      <c r="E244" s="4">
        <f t="shared" si="19"/>
        <v>-2.8128806606226202E-3</v>
      </c>
      <c r="F244" s="6">
        <f t="shared" si="20"/>
        <v>1.274941069866962E-3</v>
      </c>
      <c r="G244" s="4">
        <f t="shared" si="23"/>
        <v>2.1110448334987326E-2</v>
      </c>
      <c r="H244" s="4">
        <f t="shared" si="21"/>
        <v>6.039384145877863E-2</v>
      </c>
      <c r="I244" s="4">
        <f t="shared" si="22"/>
        <v>-0.92076224124774675</v>
      </c>
    </row>
    <row r="245" spans="1:9" x14ac:dyDescent="0.25">
      <c r="A245" s="3">
        <v>40532</v>
      </c>
      <c r="B245" s="4" t="s">
        <v>0</v>
      </c>
      <c r="C245" s="4">
        <v>296.4194536</v>
      </c>
      <c r="D245" s="6">
        <f t="shared" si="18"/>
        <v>7.2105408582391669E-3</v>
      </c>
      <c r="E245" s="4">
        <f t="shared" si="19"/>
        <v>-1.4600838741330117E-3</v>
      </c>
      <c r="F245" s="6">
        <f t="shared" si="20"/>
        <v>8.6706247323721786E-3</v>
      </c>
      <c r="G245" s="4">
        <f t="shared" si="23"/>
        <v>9.6973325559235376E-3</v>
      </c>
      <c r="H245" s="4">
        <f t="shared" si="21"/>
        <v>0.89412471753129652</v>
      </c>
      <c r="I245" s="4">
        <f t="shared" si="22"/>
        <v>-1.3186680384548832</v>
      </c>
    </row>
    <row r="246" spans="1:9" x14ac:dyDescent="0.25">
      <c r="A246" s="3">
        <v>40533</v>
      </c>
      <c r="B246" s="4" t="s">
        <v>0</v>
      </c>
      <c r="C246" s="4">
        <v>300.40951189999998</v>
      </c>
      <c r="D246" s="6">
        <f t="shared" si="18"/>
        <v>1.3460851680080106E-2</v>
      </c>
      <c r="E246" s="4">
        <f t="shared" si="19"/>
        <v>1.4373527564299571E-4</v>
      </c>
      <c r="F246" s="6">
        <f t="shared" si="20"/>
        <v>1.3317116404437111E-2</v>
      </c>
      <c r="G246" s="4">
        <f t="shared" si="23"/>
        <v>3.1357455210494073E-2</v>
      </c>
      <c r="H246" s="4">
        <f t="shared" si="21"/>
        <v>0.4246874089444736</v>
      </c>
      <c r="I246" s="4">
        <f t="shared" si="22"/>
        <v>-1.0091182308626581</v>
      </c>
    </row>
    <row r="247" spans="1:9" x14ac:dyDescent="0.25">
      <c r="A247" s="3">
        <v>40534</v>
      </c>
      <c r="B247" s="4" t="s">
        <v>0</v>
      </c>
      <c r="C247" s="4">
        <v>301.61498849999998</v>
      </c>
      <c r="D247" s="6">
        <f t="shared" si="18"/>
        <v>4.0127777325548704E-3</v>
      </c>
      <c r="E247" s="4">
        <f t="shared" si="19"/>
        <v>2.2857117321274964E-3</v>
      </c>
      <c r="F247" s="6">
        <f t="shared" si="20"/>
        <v>1.727066000427374E-3</v>
      </c>
      <c r="G247" s="4">
        <f t="shared" si="23"/>
        <v>1.9524937955339664E-2</v>
      </c>
      <c r="H247" s="4">
        <f t="shared" si="21"/>
        <v>8.8454365610675725E-2</v>
      </c>
      <c r="I247" s="4">
        <f t="shared" si="22"/>
        <v>-0.92285062060246614</v>
      </c>
    </row>
    <row r="248" spans="1:9" x14ac:dyDescent="0.25">
      <c r="A248" s="3">
        <v>40535</v>
      </c>
      <c r="B248" s="4" t="s">
        <v>0</v>
      </c>
      <c r="C248" s="4">
        <v>300.9873326</v>
      </c>
      <c r="D248" s="6">
        <f t="shared" si="18"/>
        <v>-2.0809837837352015E-3</v>
      </c>
      <c r="E248" s="4">
        <f t="shared" si="19"/>
        <v>7.3541281878732132E-3</v>
      </c>
      <c r="F248" s="6">
        <f t="shared" si="20"/>
        <v>-9.4351119716084147E-3</v>
      </c>
      <c r="G248" s="4">
        <f t="shared" si="23"/>
        <v>9.4649717221964597E-3</v>
      </c>
      <c r="H248" s="4">
        <f t="shared" si="21"/>
        <v>-0.99684523615448106</v>
      </c>
      <c r="I248" s="4">
        <f t="shared" si="22"/>
        <v>-1.4157887456266143</v>
      </c>
    </row>
    <row r="249" spans="1:9" x14ac:dyDescent="0.25">
      <c r="A249" s="3">
        <v>40539</v>
      </c>
      <c r="B249" s="4" t="s">
        <v>0</v>
      </c>
      <c r="C249" s="4">
        <v>300.06579169999998</v>
      </c>
      <c r="D249" s="6">
        <f t="shared" si="18"/>
        <v>-3.0617265252977127E-3</v>
      </c>
      <c r="E249" s="4">
        <f t="shared" si="19"/>
        <v>5.6563755145743275E-3</v>
      </c>
      <c r="F249" s="6">
        <f t="shared" si="20"/>
        <v>-8.7181020398720398E-3</v>
      </c>
      <c r="G249" s="4">
        <f t="shared" si="23"/>
        <v>3.4816599989987755E-2</v>
      </c>
      <c r="H249" s="4">
        <f t="shared" si="21"/>
        <v>-0.25040072960539261</v>
      </c>
      <c r="I249" s="4">
        <f t="shared" si="22"/>
        <v>-0.9502887958981292</v>
      </c>
    </row>
    <row r="250" spans="1:9" x14ac:dyDescent="0.25">
      <c r="A250" s="3">
        <v>40540</v>
      </c>
      <c r="B250" s="4" t="s">
        <v>0</v>
      </c>
      <c r="C250" s="4">
        <v>298.34224749999998</v>
      </c>
      <c r="D250" s="6">
        <f t="shared" si="18"/>
        <v>-5.7438876662194091E-3</v>
      </c>
      <c r="E250" s="4">
        <f t="shared" si="19"/>
        <v>4.3334397050697165E-4</v>
      </c>
      <c r="F250" s="6">
        <f t="shared" si="20"/>
        <v>-6.1772316367263809E-3</v>
      </c>
      <c r="G250" s="4">
        <f t="shared" si="23"/>
        <v>1.6599124715664652E-2</v>
      </c>
      <c r="H250" s="4">
        <f t="shared" si="21"/>
        <v>-0.37214201004809039</v>
      </c>
      <c r="I250" s="4">
        <f t="shared" si="22"/>
        <v>-0.98818337102598919</v>
      </c>
    </row>
    <row r="251" spans="1:9" x14ac:dyDescent="0.25">
      <c r="A251" s="3">
        <v>40541</v>
      </c>
      <c r="B251" s="4" t="s">
        <v>0</v>
      </c>
      <c r="C251" s="4">
        <v>299.3783818</v>
      </c>
      <c r="D251" s="6">
        <f t="shared" si="18"/>
        <v>3.4729720939037129E-3</v>
      </c>
      <c r="E251" s="4">
        <f t="shared" si="19"/>
        <v>-1.8078551851367268E-3</v>
      </c>
      <c r="F251" s="6">
        <f t="shared" si="20"/>
        <v>5.2808272790404402E-3</v>
      </c>
      <c r="G251" s="4">
        <f t="shared" si="23"/>
        <v>1.511966587008E-2</v>
      </c>
      <c r="H251" s="4">
        <f t="shared" si="21"/>
        <v>0.34926878175863407</v>
      </c>
      <c r="I251" s="4">
        <f t="shared" si="22"/>
        <v>-0.97993287416025288</v>
      </c>
    </row>
    <row r="252" spans="1:9" x14ac:dyDescent="0.25">
      <c r="A252" s="3">
        <v>40542</v>
      </c>
      <c r="B252" s="4" t="s">
        <v>0</v>
      </c>
      <c r="C252" s="4">
        <v>298.31237049999999</v>
      </c>
      <c r="D252" s="6">
        <f t="shared" si="18"/>
        <v>-3.560749088129428E-3</v>
      </c>
      <c r="E252" s="4">
        <f t="shared" si="19"/>
        <v>-3.1333599421782925E-3</v>
      </c>
      <c r="F252" s="6">
        <f t="shared" si="20"/>
        <v>-4.2738914595113553E-4</v>
      </c>
      <c r="G252" s="4">
        <f t="shared" si="23"/>
        <v>1.4221993479423923E-2</v>
      </c>
      <c r="H252" s="4">
        <f t="shared" si="21"/>
        <v>-3.0051282653832816E-2</v>
      </c>
      <c r="I252" s="4">
        <f t="shared" si="22"/>
        <v>-0.91939007299924291</v>
      </c>
    </row>
    <row r="253" spans="1:9" x14ac:dyDescent="0.25">
      <c r="A253" s="3">
        <v>40543</v>
      </c>
      <c r="B253" s="4" t="s">
        <v>0</v>
      </c>
      <c r="C253" s="4">
        <v>295.87648380000002</v>
      </c>
      <c r="D253" s="6">
        <f t="shared" si="18"/>
        <v>-8.1655571169146988E-3</v>
      </c>
      <c r="E253" s="4">
        <f t="shared" si="19"/>
        <v>-4.3150446597216914E-4</v>
      </c>
      <c r="F253" s="6">
        <f t="shared" si="20"/>
        <v>-7.7340526509425299E-3</v>
      </c>
      <c r="G253" s="4">
        <f t="shared" si="23"/>
        <v>7.4382727298947212E-3</v>
      </c>
      <c r="H253" s="4">
        <f t="shared" si="21"/>
        <v>-1.0397645974796079</v>
      </c>
      <c r="I253" s="4">
        <f t="shared" si="22"/>
        <v>-1.4594937422906382</v>
      </c>
    </row>
    <row r="254" spans="1:9" x14ac:dyDescent="0.25">
      <c r="A254" s="3">
        <v>40546</v>
      </c>
      <c r="B254" s="4" t="s">
        <v>0</v>
      </c>
      <c r="C254" s="4">
        <v>301.04711650000002</v>
      </c>
      <c r="D254" s="6">
        <f t="shared" si="18"/>
        <v>1.7475646031724263E-2</v>
      </c>
      <c r="E254" s="4">
        <f t="shared" si="19"/>
        <v>-2.9775829999880159E-4</v>
      </c>
      <c r="F254" s="6">
        <f t="shared" si="20"/>
        <v>1.7773404331723065E-2</v>
      </c>
      <c r="G254" s="4">
        <f t="shared" si="23"/>
        <v>3.6200892025766332E-2</v>
      </c>
      <c r="H254" s="4">
        <f t="shared" si="21"/>
        <v>0.49096592202956418</v>
      </c>
      <c r="I254" s="4">
        <f t="shared" si="22"/>
        <v>-1.0394623015018427</v>
      </c>
    </row>
    <row r="255" spans="1:9" x14ac:dyDescent="0.25">
      <c r="A255" s="3">
        <v>40547</v>
      </c>
      <c r="B255" s="4" t="s">
        <v>0</v>
      </c>
      <c r="C255" s="4">
        <v>299.93627470000001</v>
      </c>
      <c r="D255" s="6">
        <f t="shared" si="18"/>
        <v>-3.6899267228158381E-3</v>
      </c>
      <c r="E255" s="4">
        <f t="shared" si="19"/>
        <v>-4.211660552475795E-3</v>
      </c>
      <c r="F255" s="6">
        <f t="shared" si="20"/>
        <v>5.2173382965995697E-4</v>
      </c>
      <c r="G255" s="4">
        <f t="shared" si="23"/>
        <v>2.2374703677840089E-2</v>
      </c>
      <c r="H255" s="4">
        <f t="shared" si="21"/>
        <v>2.3318021868449692E-2</v>
      </c>
      <c r="I255" s="4">
        <f t="shared" si="22"/>
        <v>-0.91921039827660145</v>
      </c>
    </row>
    <row r="256" spans="1:9" x14ac:dyDescent="0.25">
      <c r="A256" s="3">
        <v>40548</v>
      </c>
      <c r="B256" s="4" t="s">
        <v>0</v>
      </c>
      <c r="C256" s="4">
        <v>303.39831659999999</v>
      </c>
      <c r="D256" s="6">
        <f t="shared" si="18"/>
        <v>1.1542591517023913E-2</v>
      </c>
      <c r="E256" s="4">
        <f t="shared" si="19"/>
        <v>4.1797825560330407E-3</v>
      </c>
      <c r="F256" s="6">
        <f t="shared" si="20"/>
        <v>7.3628089609908721E-3</v>
      </c>
      <c r="G256" s="4">
        <f t="shared" si="23"/>
        <v>9.9187538854994556E-3</v>
      </c>
      <c r="H256" s="4">
        <f t="shared" si="21"/>
        <v>0.74231189179467383</v>
      </c>
      <c r="I256" s="4">
        <f t="shared" si="22"/>
        <v>-1.1944520055545664</v>
      </c>
    </row>
    <row r="257" spans="1:9" x14ac:dyDescent="0.25">
      <c r="A257" s="3">
        <v>40549</v>
      </c>
      <c r="B257" s="4" t="s">
        <v>0</v>
      </c>
      <c r="C257" s="4">
        <v>305.60504680000003</v>
      </c>
      <c r="D257" s="6">
        <f t="shared" si="18"/>
        <v>7.2733765458210791E-3</v>
      </c>
      <c r="E257" s="4">
        <f t="shared" si="19"/>
        <v>3.9416038097478531E-3</v>
      </c>
      <c r="F257" s="6">
        <f t="shared" si="20"/>
        <v>3.331772736073226E-3</v>
      </c>
      <c r="G257" s="4">
        <f t="shared" si="23"/>
        <v>2.627405465582202E-2</v>
      </c>
      <c r="H257" s="4">
        <f t="shared" si="21"/>
        <v>0.12680847245382984</v>
      </c>
      <c r="I257" s="4">
        <f t="shared" si="22"/>
        <v>-0.92697872754770949</v>
      </c>
    </row>
    <row r="258" spans="1:9" x14ac:dyDescent="0.25">
      <c r="A258" s="3">
        <v>40550</v>
      </c>
      <c r="B258" s="4" t="s">
        <v>0</v>
      </c>
      <c r="C258" s="4">
        <v>307.06955740000001</v>
      </c>
      <c r="D258" s="6">
        <f t="shared" si="18"/>
        <v>4.7921675879862551E-3</v>
      </c>
      <c r="E258" s="4">
        <f t="shared" si="19"/>
        <v>3.2825900968873581E-3</v>
      </c>
      <c r="F258" s="6">
        <f t="shared" si="20"/>
        <v>1.509577491098897E-3</v>
      </c>
      <c r="G258" s="4">
        <f t="shared" si="23"/>
        <v>1.2016092606264649E-2</v>
      </c>
      <c r="H258" s="4">
        <f t="shared" si="21"/>
        <v>0.12562964855246467</v>
      </c>
      <c r="I258" s="4">
        <f t="shared" si="22"/>
        <v>-0.92682993750238052</v>
      </c>
    </row>
    <row r="259" spans="1:9" x14ac:dyDescent="0.25">
      <c r="A259" s="3">
        <v>40553</v>
      </c>
      <c r="B259" s="4" t="s">
        <v>0</v>
      </c>
      <c r="C259" s="4">
        <v>305.9587156</v>
      </c>
      <c r="D259" s="6">
        <f t="shared" si="18"/>
        <v>-3.6175575638485707E-3</v>
      </c>
      <c r="E259" s="4">
        <f t="shared" si="19"/>
        <v>6.3155007221910248E-3</v>
      </c>
      <c r="F259" s="6">
        <f t="shared" si="20"/>
        <v>-9.9330582860395963E-3</v>
      </c>
      <c r="G259" s="4">
        <f t="shared" si="23"/>
        <v>8.0298490951433224E-3</v>
      </c>
      <c r="H259" s="4">
        <f t="shared" si="21"/>
        <v>-1.2370168067102765</v>
      </c>
      <c r="I259" s="4">
        <f t="shared" si="22"/>
        <v>-1.6840438232465174</v>
      </c>
    </row>
    <row r="260" spans="1:9" x14ac:dyDescent="0.25">
      <c r="A260" s="3">
        <v>40554</v>
      </c>
      <c r="B260" s="4" t="s">
        <v>0</v>
      </c>
      <c r="C260" s="4">
        <v>306.85535379999999</v>
      </c>
      <c r="D260" s="6">
        <f t="shared" ref="D260:D323" si="24">(C260-C259)/C259</f>
        <v>2.9305855799585004E-3</v>
      </c>
      <c r="E260" s="4">
        <f t="shared" si="19"/>
        <v>4.0593613794042112E-3</v>
      </c>
      <c r="F260" s="6">
        <f t="shared" si="20"/>
        <v>-1.1287757994457108E-3</v>
      </c>
      <c r="G260" s="4">
        <f t="shared" si="23"/>
        <v>4.2925337063546676E-2</v>
      </c>
      <c r="H260" s="4">
        <f t="shared" si="21"/>
        <v>-2.6296259427728452E-2</v>
      </c>
      <c r="I260" s="4">
        <f t="shared" si="22"/>
        <v>-0.9192842798346178</v>
      </c>
    </row>
    <row r="261" spans="1:9" x14ac:dyDescent="0.25">
      <c r="A261" s="3">
        <v>40555</v>
      </c>
      <c r="B261" s="4" t="s">
        <v>0</v>
      </c>
      <c r="C261" s="4">
        <v>307.28376050000003</v>
      </c>
      <c r="D261" s="6">
        <f t="shared" si="24"/>
        <v>1.3961193594792646E-3</v>
      </c>
      <c r="E261" s="4">
        <f t="shared" si="19"/>
        <v>8.4753463062225195E-5</v>
      </c>
      <c r="F261" s="6">
        <f t="shared" si="20"/>
        <v>1.3113658964170394E-3</v>
      </c>
      <c r="G261" s="4">
        <f t="shared" si="23"/>
        <v>1.7149673103338675E-2</v>
      </c>
      <c r="H261" s="4">
        <f t="shared" si="21"/>
        <v>7.646594127568207E-2</v>
      </c>
      <c r="I261" s="4">
        <f t="shared" si="22"/>
        <v>-0.92186205329226067</v>
      </c>
    </row>
    <row r="262" spans="1:9" x14ac:dyDescent="0.25">
      <c r="A262" s="3">
        <v>40556</v>
      </c>
      <c r="B262" s="4" t="s">
        <v>0</v>
      </c>
      <c r="C262" s="4">
        <v>307.19409960000002</v>
      </c>
      <c r="D262" s="6">
        <f t="shared" si="24"/>
        <v>-2.9178535127961171E-4</v>
      </c>
      <c r="E262" s="4">
        <f t="shared" si="19"/>
        <v>1.2444877664147432E-5</v>
      </c>
      <c r="F262" s="6">
        <f t="shared" si="20"/>
        <v>-3.0423022894375914E-4</v>
      </c>
      <c r="G262" s="4">
        <f t="shared" si="23"/>
        <v>8.634514507108117E-3</v>
      </c>
      <c r="H262" s="4">
        <f t="shared" si="21"/>
        <v>-3.5234202072775521E-2</v>
      </c>
      <c r="I262" s="4">
        <f t="shared" si="22"/>
        <v>-0.91955925770252522</v>
      </c>
    </row>
    <row r="263" spans="1:9" x14ac:dyDescent="0.25">
      <c r="A263" s="3">
        <v>40557</v>
      </c>
      <c r="B263" s="4" t="s">
        <v>0</v>
      </c>
      <c r="C263" s="4">
        <v>310.92512429999999</v>
      </c>
      <c r="D263" s="6">
        <f t="shared" si="24"/>
        <v>1.214549597423315E-2</v>
      </c>
      <c r="E263" s="4">
        <f t="shared" ref="E263:E326" si="25">+$M$16*D262+$M$17*D261+$M$18*D260</f>
        <v>1.4311998968107556E-3</v>
      </c>
      <c r="F263" s="6">
        <f t="shared" ref="F263:F326" si="26">D263-E263</f>
        <v>1.0714296077422395E-2</v>
      </c>
      <c r="G263" s="4">
        <f t="shared" si="23"/>
        <v>6.0924029307352036E-3</v>
      </c>
      <c r="H263" s="4">
        <f t="shared" ref="H263:H326" si="27">F263/G263</f>
        <v>1.7586322177363674</v>
      </c>
      <c r="I263" s="4">
        <f t="shared" ref="I263:I326" si="28">LN(_xlfn.NORM.DIST(H263,0,1,FALSE))</f>
        <v>-2.4653321718348393</v>
      </c>
    </row>
    <row r="264" spans="1:9" x14ac:dyDescent="0.25">
      <c r="A264" s="3">
        <v>40561</v>
      </c>
      <c r="B264" s="4" t="s">
        <v>0</v>
      </c>
      <c r="C264" s="4">
        <v>318.62127370000002</v>
      </c>
      <c r="D264" s="6">
        <f t="shared" si="24"/>
        <v>2.4752420433461975E-2</v>
      </c>
      <c r="E264" s="4">
        <f t="shared" si="25"/>
        <v>3.1626407816292982E-4</v>
      </c>
      <c r="F264" s="6">
        <f t="shared" si="26"/>
        <v>2.4436156355299044E-2</v>
      </c>
      <c r="G264" s="4">
        <f t="shared" ref="G264:G327" si="29">SQRT($M$12 + $M$13 *H263^2+$M$14*G263^2)</f>
        <v>6.070626303988684E-2</v>
      </c>
      <c r="H264" s="4">
        <f t="shared" si="27"/>
        <v>0.40253105909753251</v>
      </c>
      <c r="I264" s="4">
        <f t="shared" si="28"/>
        <v>-0.99995415997376325</v>
      </c>
    </row>
    <row r="265" spans="1:9" x14ac:dyDescent="0.25">
      <c r="A265" s="3">
        <v>40562</v>
      </c>
      <c r="B265" s="4" t="s">
        <v>0</v>
      </c>
      <c r="C265" s="4">
        <v>314.69597420000002</v>
      </c>
      <c r="D265" s="6">
        <f t="shared" si="24"/>
        <v>-1.2319640350492999E-2</v>
      </c>
      <c r="E265" s="4">
        <f t="shared" si="25"/>
        <v>4.5541058363049777E-3</v>
      </c>
      <c r="F265" s="6">
        <f t="shared" si="26"/>
        <v>-1.6873746186797975E-2</v>
      </c>
      <c r="G265" s="4">
        <f t="shared" si="29"/>
        <v>2.7446360384455738E-2</v>
      </c>
      <c r="H265" s="4">
        <f t="shared" si="27"/>
        <v>-0.61478993755231859</v>
      </c>
      <c r="I265" s="4">
        <f t="shared" si="28"/>
        <v>-1.1079218668624646</v>
      </c>
    </row>
    <row r="266" spans="1:9" x14ac:dyDescent="0.25">
      <c r="A266" s="3">
        <v>40563</v>
      </c>
      <c r="B266" s="4" t="s">
        <v>0</v>
      </c>
      <c r="C266" s="4">
        <v>312.21528749999999</v>
      </c>
      <c r="D266" s="6">
        <f t="shared" si="24"/>
        <v>-7.8828040501829691E-3</v>
      </c>
      <c r="E266" s="4">
        <f t="shared" si="25"/>
        <v>1.318167452241027E-2</v>
      </c>
      <c r="F266" s="6">
        <f t="shared" si="26"/>
        <v>-2.1064478572593241E-2</v>
      </c>
      <c r="G266" s="4">
        <f t="shared" si="29"/>
        <v>2.4108937185385385E-2</v>
      </c>
      <c r="H266" s="4">
        <f t="shared" si="27"/>
        <v>-0.87372074557323642</v>
      </c>
      <c r="I266" s="4">
        <f t="shared" si="28"/>
        <v>-1.3006325038271989</v>
      </c>
    </row>
    <row r="267" spans="1:9" x14ac:dyDescent="0.25">
      <c r="A267" s="3">
        <v>40564</v>
      </c>
      <c r="B267" s="4" t="s">
        <v>0</v>
      </c>
      <c r="C267" s="4">
        <v>304.77316680000001</v>
      </c>
      <c r="D267" s="6">
        <f t="shared" si="24"/>
        <v>-2.3836503201336595E-2</v>
      </c>
      <c r="E267" s="4">
        <f t="shared" si="25"/>
        <v>2.8707833863828216E-3</v>
      </c>
      <c r="F267" s="6">
        <f t="shared" si="26"/>
        <v>-2.6707286587719418E-2</v>
      </c>
      <c r="G267" s="4">
        <f t="shared" si="29"/>
        <v>3.180657449884542E-2</v>
      </c>
      <c r="H267" s="4">
        <f t="shared" si="27"/>
        <v>-0.83967818001554662</v>
      </c>
      <c r="I267" s="4">
        <f t="shared" si="28"/>
        <v>-1.2714682562017829</v>
      </c>
    </row>
    <row r="268" spans="1:9" x14ac:dyDescent="0.25">
      <c r="A268" s="3">
        <v>40567</v>
      </c>
      <c r="B268" s="4" t="s">
        <v>0</v>
      </c>
      <c r="C268" s="4">
        <v>304.39956969999997</v>
      </c>
      <c r="D268" s="6">
        <f t="shared" si="24"/>
        <v>-1.2258201859522773E-3</v>
      </c>
      <c r="E268" s="4">
        <f t="shared" si="25"/>
        <v>-6.7868260050604158E-3</v>
      </c>
      <c r="F268" s="6">
        <f t="shared" si="26"/>
        <v>5.561005819108138E-3</v>
      </c>
      <c r="G268" s="4">
        <f t="shared" si="29"/>
        <v>3.1708793454641705E-2</v>
      </c>
      <c r="H268" s="4">
        <f t="shared" si="27"/>
        <v>0.17537740207816352</v>
      </c>
      <c r="I268" s="4">
        <f t="shared" si="28"/>
        <v>-0.93431714978451563</v>
      </c>
    </row>
    <row r="269" spans="1:9" x14ac:dyDescent="0.25">
      <c r="A269" s="3">
        <v>40568</v>
      </c>
      <c r="B269" s="4" t="s">
        <v>0</v>
      </c>
      <c r="C269" s="4">
        <v>308.79807599999998</v>
      </c>
      <c r="D269" s="6">
        <f t="shared" si="24"/>
        <v>1.4449778310576923E-2</v>
      </c>
      <c r="E269" s="4">
        <f t="shared" si="25"/>
        <v>-1.152635047964597E-2</v>
      </c>
      <c r="F269" s="6">
        <f t="shared" si="26"/>
        <v>2.5976128790222895E-2</v>
      </c>
      <c r="G269" s="4">
        <f t="shared" si="29"/>
        <v>1.4410144642676707E-2</v>
      </c>
      <c r="H269" s="4">
        <f t="shared" si="27"/>
        <v>1.8026279009922408</v>
      </c>
      <c r="I269" s="4">
        <f t="shared" si="28"/>
        <v>-2.5436722079225187</v>
      </c>
    </row>
    <row r="270" spans="1:9" x14ac:dyDescent="0.25">
      <c r="A270" s="3">
        <v>40569</v>
      </c>
      <c r="B270" s="4" t="s">
        <v>0</v>
      </c>
      <c r="C270" s="4">
        <v>307.09943390000001</v>
      </c>
      <c r="D270" s="6">
        <f t="shared" si="24"/>
        <v>-5.5008182758236237E-3</v>
      </c>
      <c r="E270" s="4">
        <f t="shared" si="25"/>
        <v>-7.7682984182225068E-3</v>
      </c>
      <c r="F270" s="6">
        <f t="shared" si="26"/>
        <v>2.2674801423988832E-3</v>
      </c>
      <c r="G270" s="4">
        <f t="shared" si="29"/>
        <v>6.2412064878140307E-2</v>
      </c>
      <c r="H270" s="4">
        <f t="shared" si="27"/>
        <v>3.6330798329235588E-2</v>
      </c>
      <c r="I270" s="4">
        <f t="shared" si="28"/>
        <v>-0.91959849665829241</v>
      </c>
    </row>
    <row r="271" spans="1:9" x14ac:dyDescent="0.25">
      <c r="A271" s="3">
        <v>40570</v>
      </c>
      <c r="B271" s="4" t="s">
        <v>0</v>
      </c>
      <c r="C271" s="4">
        <v>307.24390440000002</v>
      </c>
      <c r="D271" s="6">
        <f t="shared" si="24"/>
        <v>4.7043557900876764E-4</v>
      </c>
      <c r="E271" s="4">
        <f t="shared" si="25"/>
        <v>5.1483297807652035E-3</v>
      </c>
      <c r="F271" s="6">
        <f t="shared" si="26"/>
        <v>-4.6778942017564355E-3</v>
      </c>
      <c r="G271" s="4">
        <f t="shared" si="29"/>
        <v>2.4371670101600844E-2</v>
      </c>
      <c r="H271" s="4">
        <f t="shared" si="27"/>
        <v>-0.19193982941075383</v>
      </c>
      <c r="I271" s="4">
        <f t="shared" si="28"/>
        <v>-0.93735898226178727</v>
      </c>
    </row>
    <row r="272" spans="1:9" x14ac:dyDescent="0.25">
      <c r="A272" s="3">
        <v>40571</v>
      </c>
      <c r="B272" s="4" t="s">
        <v>0</v>
      </c>
      <c r="C272" s="4">
        <v>299.37337710000003</v>
      </c>
      <c r="D272" s="6">
        <f t="shared" si="24"/>
        <v>-2.5616544990111092E-2</v>
      </c>
      <c r="E272" s="4">
        <f t="shared" si="25"/>
        <v>2.3224374765426071E-3</v>
      </c>
      <c r="F272" s="6">
        <f t="shared" si="26"/>
        <v>-2.7938982466653699E-2</v>
      </c>
      <c r="G272" s="4">
        <f t="shared" si="29"/>
        <v>1.2445124066773677E-2</v>
      </c>
      <c r="H272" s="4">
        <f t="shared" si="27"/>
        <v>-2.2449742016832066</v>
      </c>
      <c r="I272" s="4">
        <f t="shared" si="28"/>
        <v>-3.4388931163162479</v>
      </c>
    </row>
    <row r="273" spans="1:9" x14ac:dyDescent="0.25">
      <c r="A273" s="3">
        <v>40574</v>
      </c>
      <c r="B273" s="4" t="s">
        <v>0</v>
      </c>
      <c r="C273" s="4">
        <v>299.05956429999998</v>
      </c>
      <c r="D273" s="6">
        <f t="shared" si="24"/>
        <v>-1.0482321542413819E-3</v>
      </c>
      <c r="E273" s="4">
        <f t="shared" si="25"/>
        <v>-1.5053123550423705E-3</v>
      </c>
      <c r="F273" s="6">
        <f t="shared" si="26"/>
        <v>4.5708020080098858E-4</v>
      </c>
      <c r="G273" s="4">
        <f t="shared" si="29"/>
        <v>7.7482383669846666E-2</v>
      </c>
      <c r="H273" s="4">
        <f t="shared" si="27"/>
        <v>5.8991499635402626E-3</v>
      </c>
      <c r="I273" s="4">
        <f t="shared" si="28"/>
        <v>-0.91895593318981872</v>
      </c>
    </row>
    <row r="274" spans="1:9" x14ac:dyDescent="0.25">
      <c r="A274" s="3">
        <v>40575</v>
      </c>
      <c r="B274" s="4" t="s">
        <v>0</v>
      </c>
      <c r="C274" s="4">
        <v>304.37964190000002</v>
      </c>
      <c r="D274" s="6">
        <f t="shared" si="24"/>
        <v>1.7789357823925805E-2</v>
      </c>
      <c r="E274" s="4">
        <f t="shared" si="25"/>
        <v>-9.6486217946552943E-3</v>
      </c>
      <c r="F274" s="6">
        <f t="shared" si="26"/>
        <v>2.7437979618581097E-2</v>
      </c>
      <c r="G274" s="4">
        <f t="shared" si="29"/>
        <v>2.9994701658087378E-2</v>
      </c>
      <c r="H274" s="4">
        <f t="shared" si="27"/>
        <v>0.9147608778160019</v>
      </c>
      <c r="I274" s="4">
        <f t="shared" si="28"/>
        <v>-1.337332264996024</v>
      </c>
    </row>
    <row r="275" spans="1:9" x14ac:dyDescent="0.25">
      <c r="A275" s="3">
        <v>40576</v>
      </c>
      <c r="B275" s="4" t="s">
        <v>0</v>
      </c>
      <c r="C275" s="4">
        <v>304.85785290000001</v>
      </c>
      <c r="D275" s="6">
        <f t="shared" si="24"/>
        <v>1.5711004751004258E-3</v>
      </c>
      <c r="E275" s="4">
        <f t="shared" si="25"/>
        <v>-8.2454851478987266E-3</v>
      </c>
      <c r="F275" s="6">
        <f t="shared" si="26"/>
        <v>9.8165856229991515E-3</v>
      </c>
      <c r="G275" s="4">
        <f t="shared" si="29"/>
        <v>3.3834984457103846E-2</v>
      </c>
      <c r="H275" s="4">
        <f t="shared" si="27"/>
        <v>0.29013122897823895</v>
      </c>
      <c r="I275" s="4">
        <f t="shared" si="28"/>
        <v>-0.96102659821888425</v>
      </c>
    </row>
    <row r="276" spans="1:9" x14ac:dyDescent="0.25">
      <c r="A276" s="3">
        <v>40577</v>
      </c>
      <c r="B276" s="4" t="s">
        <v>0</v>
      </c>
      <c r="C276" s="4">
        <v>303.93628169999999</v>
      </c>
      <c r="D276" s="6">
        <f t="shared" si="24"/>
        <v>-3.0229537839798143E-3</v>
      </c>
      <c r="E276" s="4">
        <f t="shared" si="25"/>
        <v>6.4795097898805217E-3</v>
      </c>
      <c r="F276" s="6">
        <f t="shared" si="26"/>
        <v>-9.5024635738603369E-3</v>
      </c>
      <c r="G276" s="4">
        <f t="shared" si="29"/>
        <v>1.7061376443622937E-2</v>
      </c>
      <c r="H276" s="4">
        <f t="shared" si="27"/>
        <v>-0.5569576174149824</v>
      </c>
      <c r="I276" s="4">
        <f t="shared" si="28"/>
        <v>-1.0740394270029596</v>
      </c>
    </row>
    <row r="277" spans="1:9" x14ac:dyDescent="0.25">
      <c r="A277" s="3">
        <v>40578</v>
      </c>
      <c r="B277" s="4" t="s">
        <v>0</v>
      </c>
      <c r="C277" s="4">
        <v>304.34973450000001</v>
      </c>
      <c r="D277" s="6">
        <f t="shared" si="24"/>
        <v>1.3603272294030171E-3</v>
      </c>
      <c r="E277" s="4">
        <f t="shared" si="25"/>
        <v>6.0485687861076051E-3</v>
      </c>
      <c r="F277" s="6">
        <f t="shared" si="26"/>
        <v>-4.6882415567045879E-3</v>
      </c>
      <c r="G277" s="4">
        <f t="shared" si="29"/>
        <v>2.0827891338892578E-2</v>
      </c>
      <c r="H277" s="4">
        <f t="shared" si="27"/>
        <v>-0.22509439291869585</v>
      </c>
      <c r="I277" s="4">
        <f t="shared" si="28"/>
        <v>-0.94427227606639075</v>
      </c>
    </row>
    <row r="278" spans="1:9" x14ac:dyDescent="0.25">
      <c r="A278" s="3">
        <v>40581</v>
      </c>
      <c r="B278" s="4" t="s">
        <v>0</v>
      </c>
      <c r="C278" s="4">
        <v>305.99857170000001</v>
      </c>
      <c r="D278" s="6">
        <f t="shared" si="24"/>
        <v>5.4175739719595599E-3</v>
      </c>
      <c r="E278" s="4">
        <f t="shared" si="25"/>
        <v>-6.7443220351889486E-4</v>
      </c>
      <c r="F278" s="6">
        <f t="shared" si="26"/>
        <v>6.0920061754784552E-3</v>
      </c>
      <c r="G278" s="4">
        <f t="shared" si="29"/>
        <v>1.2160581816858303E-2</v>
      </c>
      <c r="H278" s="4">
        <f t="shared" si="27"/>
        <v>0.50096338047190003</v>
      </c>
      <c r="I278" s="4">
        <f t="shared" si="28"/>
        <v>-1.0444206874915893</v>
      </c>
    </row>
    <row r="279" spans="1:9" x14ac:dyDescent="0.25">
      <c r="A279" s="3">
        <v>40582</v>
      </c>
      <c r="B279" s="4" t="s">
        <v>0</v>
      </c>
      <c r="C279" s="4">
        <v>308.0359287</v>
      </c>
      <c r="D279" s="6">
        <f t="shared" si="24"/>
        <v>6.6580604892411193E-3</v>
      </c>
      <c r="E279" s="4">
        <f t="shared" si="25"/>
        <v>-4.0565310283736966E-4</v>
      </c>
      <c r="F279" s="6">
        <f t="shared" si="26"/>
        <v>7.0637135920784888E-3</v>
      </c>
      <c r="G279" s="4">
        <f t="shared" si="29"/>
        <v>1.8518234251430867E-2</v>
      </c>
      <c r="H279" s="4">
        <f t="shared" si="27"/>
        <v>0.38144638933556474</v>
      </c>
      <c r="I279" s="4">
        <f t="shared" si="28"/>
        <v>-0.99168920717324227</v>
      </c>
    </row>
    <row r="280" spans="1:9" x14ac:dyDescent="0.25">
      <c r="A280" s="3">
        <v>40583</v>
      </c>
      <c r="B280" s="4" t="s">
        <v>0</v>
      </c>
      <c r="C280" s="4">
        <v>307.09943390000001</v>
      </c>
      <c r="D280" s="6">
        <f t="shared" si="24"/>
        <v>-3.0402128866988602E-3</v>
      </c>
      <c r="E280" s="4">
        <f t="shared" si="25"/>
        <v>2.4877623225663687E-3</v>
      </c>
      <c r="F280" s="6">
        <f t="shared" si="26"/>
        <v>-5.5279752092652294E-3</v>
      </c>
      <c r="G280" s="4">
        <f t="shared" si="29"/>
        <v>1.5707055798736238E-2</v>
      </c>
      <c r="H280" s="4">
        <f t="shared" si="27"/>
        <v>-0.35194216408844747</v>
      </c>
      <c r="I280" s="4">
        <f t="shared" si="28"/>
        <v>-0.9808701766363026</v>
      </c>
    </row>
    <row r="281" spans="1:9" x14ac:dyDescent="0.25">
      <c r="A281" s="3">
        <v>40584</v>
      </c>
      <c r="B281" s="4" t="s">
        <v>0</v>
      </c>
      <c r="C281" s="4">
        <v>307.06955740000001</v>
      </c>
      <c r="D281" s="6">
        <f t="shared" si="24"/>
        <v>-9.7286079692771144E-5</v>
      </c>
      <c r="E281" s="4">
        <f t="shared" si="25"/>
        <v>4.2043213605712738E-3</v>
      </c>
      <c r="F281" s="6">
        <f t="shared" si="26"/>
        <v>-4.3016074402640447E-3</v>
      </c>
      <c r="G281" s="4">
        <f t="shared" si="29"/>
        <v>1.4391635426784993E-2</v>
      </c>
      <c r="H281" s="4">
        <f t="shared" si="27"/>
        <v>-0.29889635977424134</v>
      </c>
      <c r="I281" s="4">
        <f t="shared" si="28"/>
        <v>-0.96360805014781903</v>
      </c>
    </row>
    <row r="282" spans="1:9" x14ac:dyDescent="0.25">
      <c r="A282" s="3">
        <v>40585</v>
      </c>
      <c r="B282" s="4" t="s">
        <v>0</v>
      </c>
      <c r="C282" s="4">
        <v>311.08451789999998</v>
      </c>
      <c r="D282" s="6">
        <f t="shared" si="24"/>
        <v>1.3075084791847139E-2</v>
      </c>
      <c r="E282" s="4">
        <f t="shared" si="25"/>
        <v>8.7683360504338327E-4</v>
      </c>
      <c r="F282" s="6">
        <f t="shared" si="26"/>
        <v>1.2198251186803755E-2</v>
      </c>
      <c r="G282" s="4">
        <f t="shared" si="29"/>
        <v>1.267078749611966E-2</v>
      </c>
      <c r="H282" s="4">
        <f t="shared" si="27"/>
        <v>0.96270663449603144</v>
      </c>
      <c r="I282" s="4">
        <f t="shared" si="28"/>
        <v>-1.3823405652560106</v>
      </c>
    </row>
    <row r="283" spans="1:9" x14ac:dyDescent="0.25">
      <c r="A283" s="3">
        <v>40588</v>
      </c>
      <c r="B283" s="4" t="s">
        <v>0</v>
      </c>
      <c r="C283" s="4">
        <v>312.90269740000002</v>
      </c>
      <c r="D283" s="6">
        <f t="shared" si="24"/>
        <v>5.8446479827212322E-3</v>
      </c>
      <c r="E283" s="4">
        <f t="shared" si="25"/>
        <v>-9.6800086474209564E-4</v>
      </c>
      <c r="F283" s="6">
        <f t="shared" si="26"/>
        <v>6.812648847463328E-3</v>
      </c>
      <c r="G283" s="4">
        <f t="shared" si="29"/>
        <v>3.3815359511046833E-2</v>
      </c>
      <c r="H283" s="4">
        <f t="shared" si="27"/>
        <v>0.20146610729475656</v>
      </c>
      <c r="I283" s="4">
        <f t="shared" si="28"/>
        <v>-0.93923282939892383</v>
      </c>
    </row>
    <row r="284" spans="1:9" x14ac:dyDescent="0.25">
      <c r="A284" s="3">
        <v>40589</v>
      </c>
      <c r="B284" s="4" t="s">
        <v>0</v>
      </c>
      <c r="C284" s="4">
        <v>310.91017040000003</v>
      </c>
      <c r="D284" s="6">
        <f t="shared" si="24"/>
        <v>-6.3678805473921596E-3</v>
      </c>
      <c r="E284" s="4">
        <f t="shared" si="25"/>
        <v>4.968655995922373E-3</v>
      </c>
      <c r="F284" s="6">
        <f t="shared" si="26"/>
        <v>-1.1336536543314533E-2</v>
      </c>
      <c r="G284" s="4">
        <f t="shared" si="29"/>
        <v>1.547208295862292E-2</v>
      </c>
      <c r="H284" s="4">
        <f t="shared" si="27"/>
        <v>-0.73270913642538615</v>
      </c>
      <c r="I284" s="4">
        <f t="shared" si="28"/>
        <v>-1.1873698725052901</v>
      </c>
    </row>
    <row r="285" spans="1:9" x14ac:dyDescent="0.25">
      <c r="A285" s="3">
        <v>40590</v>
      </c>
      <c r="B285" s="4" t="s">
        <v>0</v>
      </c>
      <c r="C285" s="4">
        <v>310.94502169999998</v>
      </c>
      <c r="D285" s="6">
        <f t="shared" si="24"/>
        <v>1.1209443536414163E-4</v>
      </c>
      <c r="E285" s="4">
        <f t="shared" si="25"/>
        <v>6.2384337384296055E-3</v>
      </c>
      <c r="F285" s="6">
        <f t="shared" si="26"/>
        <v>-6.126339303065464E-3</v>
      </c>
      <c r="G285" s="4">
        <f t="shared" si="29"/>
        <v>2.6346426670270741E-2</v>
      </c>
      <c r="H285" s="4">
        <f t="shared" si="27"/>
        <v>-0.23253017875013821</v>
      </c>
      <c r="I285" s="4">
        <f t="shared" si="28"/>
        <v>-0.94597367521945841</v>
      </c>
    </row>
    <row r="286" spans="1:9" x14ac:dyDescent="0.25">
      <c r="A286" s="3">
        <v>40591</v>
      </c>
      <c r="B286" s="4" t="s">
        <v>0</v>
      </c>
      <c r="C286" s="4">
        <v>311.4630889</v>
      </c>
      <c r="D286" s="6">
        <f t="shared" si="24"/>
        <v>1.666105465100034E-3</v>
      </c>
      <c r="E286" s="4">
        <f t="shared" si="25"/>
        <v>-6.4436977529175321E-4</v>
      </c>
      <c r="F286" s="6">
        <f t="shared" si="26"/>
        <v>2.3104752403917874E-3</v>
      </c>
      <c r="G286" s="4">
        <f t="shared" si="29"/>
        <v>1.3778167080054981E-2</v>
      </c>
      <c r="H286" s="4">
        <f t="shared" si="27"/>
        <v>0.16769104533043358</v>
      </c>
      <c r="I286" s="4">
        <f t="shared" si="28"/>
        <v>-0.93299867654667945</v>
      </c>
    </row>
    <row r="287" spans="1:9" x14ac:dyDescent="0.25">
      <c r="A287" s="3">
        <v>40592</v>
      </c>
      <c r="B287" s="4" t="s">
        <v>0</v>
      </c>
      <c r="C287" s="4">
        <v>313.86409429999998</v>
      </c>
      <c r="D287" s="6">
        <f t="shared" si="24"/>
        <v>7.7087959555003759E-3</v>
      </c>
      <c r="E287" s="4">
        <f t="shared" si="25"/>
        <v>-1.9072928088234779E-3</v>
      </c>
      <c r="F287" s="6">
        <f t="shared" si="26"/>
        <v>9.6160887643238543E-3</v>
      </c>
      <c r="G287" s="4">
        <f t="shared" si="29"/>
        <v>9.2564709465884649E-3</v>
      </c>
      <c r="H287" s="4">
        <f t="shared" si="27"/>
        <v>1.0388504236453018</v>
      </c>
      <c r="I287" s="4">
        <f t="shared" si="28"/>
        <v>-1.4585436345586842</v>
      </c>
    </row>
    <row r="288" spans="1:9" x14ac:dyDescent="0.25">
      <c r="A288" s="3">
        <v>40596</v>
      </c>
      <c r="B288" s="4" t="s">
        <v>0</v>
      </c>
      <c r="C288" s="4">
        <v>303.96618910000001</v>
      </c>
      <c r="D288" s="6">
        <f t="shared" si="24"/>
        <v>-3.1535640360758427E-2</v>
      </c>
      <c r="E288" s="4">
        <f t="shared" si="25"/>
        <v>6.7140083879152848E-4</v>
      </c>
      <c r="F288" s="6">
        <f t="shared" si="26"/>
        <v>-3.2207041199549959E-2</v>
      </c>
      <c r="G288" s="4">
        <f t="shared" si="29"/>
        <v>3.6230957177731712E-2</v>
      </c>
      <c r="H288" s="4">
        <f t="shared" si="27"/>
        <v>-0.88893707780221343</v>
      </c>
      <c r="I288" s="4">
        <f t="shared" si="28"/>
        <v>-1.3140430973504418</v>
      </c>
    </row>
    <row r="289" spans="1:9" x14ac:dyDescent="0.25">
      <c r="A289" s="3">
        <v>40597</v>
      </c>
      <c r="B289" s="4" t="s">
        <v>0</v>
      </c>
      <c r="C289" s="4">
        <v>304.51910709999999</v>
      </c>
      <c r="D289" s="6">
        <f t="shared" si="24"/>
        <v>1.8190115211072892E-3</v>
      </c>
      <c r="E289" s="4">
        <f t="shared" si="25"/>
        <v>3.4565302506467019E-3</v>
      </c>
      <c r="F289" s="6">
        <f t="shared" si="26"/>
        <v>-1.6375187295394127E-3</v>
      </c>
      <c r="G289" s="4">
        <f t="shared" si="29"/>
        <v>3.3910821475703602E-2</v>
      </c>
      <c r="H289" s="4">
        <f t="shared" si="27"/>
        <v>-4.82889726134373E-2</v>
      </c>
      <c r="I289" s="4">
        <f t="shared" si="28"/>
        <v>-0.92010444564270333</v>
      </c>
    </row>
    <row r="290" spans="1:9" x14ac:dyDescent="0.25">
      <c r="A290" s="3">
        <v>40598</v>
      </c>
      <c r="B290" s="4" t="s">
        <v>0</v>
      </c>
      <c r="C290" s="4">
        <v>303.27377439999998</v>
      </c>
      <c r="D290" s="6">
        <f t="shared" si="24"/>
        <v>-4.0895059487714028E-3</v>
      </c>
      <c r="E290" s="4">
        <f t="shared" si="25"/>
        <v>-9.6945477168580985E-3</v>
      </c>
      <c r="F290" s="6">
        <f t="shared" si="26"/>
        <v>5.6050417680866957E-3</v>
      </c>
      <c r="G290" s="4">
        <f t="shared" si="29"/>
        <v>1.3968380404745741E-2</v>
      </c>
      <c r="H290" s="4">
        <f t="shared" si="27"/>
        <v>0.40126640352537857</v>
      </c>
      <c r="I290" s="4">
        <f t="shared" si="28"/>
        <v>-0.99944589650376858</v>
      </c>
    </row>
    <row r="291" spans="1:9" x14ac:dyDescent="0.25">
      <c r="A291" s="3">
        <v>40599</v>
      </c>
      <c r="B291" s="4" t="s">
        <v>0</v>
      </c>
      <c r="C291" s="4">
        <v>303.88150250000001</v>
      </c>
      <c r="D291" s="6">
        <f t="shared" si="24"/>
        <v>2.0038926913557458E-3</v>
      </c>
      <c r="E291" s="4">
        <f t="shared" si="25"/>
        <v>-8.9625711114783325E-3</v>
      </c>
      <c r="F291" s="6">
        <f t="shared" si="26"/>
        <v>1.0966463802834078E-2</v>
      </c>
      <c r="G291" s="4">
        <f t="shared" si="29"/>
        <v>1.5604678283033203E-2</v>
      </c>
      <c r="H291" s="4">
        <f t="shared" si="27"/>
        <v>0.7027676959388387</v>
      </c>
      <c r="I291" s="4">
        <f t="shared" si="28"/>
        <v>-1.1658797504322649</v>
      </c>
    </row>
    <row r="292" spans="1:9" x14ac:dyDescent="0.25">
      <c r="A292" s="3">
        <v>40602</v>
      </c>
      <c r="B292" s="4" t="s">
        <v>0</v>
      </c>
      <c r="C292" s="4">
        <v>305.5552419</v>
      </c>
      <c r="D292" s="6">
        <f t="shared" si="24"/>
        <v>5.5078686469242667E-3</v>
      </c>
      <c r="E292" s="4">
        <f t="shared" si="25"/>
        <v>-1.0062167525470254E-3</v>
      </c>
      <c r="F292" s="6">
        <f t="shared" si="26"/>
        <v>6.5140853994712922E-3</v>
      </c>
      <c r="G292" s="4">
        <f t="shared" si="29"/>
        <v>2.537598519023793E-2</v>
      </c>
      <c r="H292" s="4">
        <f t="shared" si="27"/>
        <v>0.25670275855840435</v>
      </c>
      <c r="I292" s="4">
        <f t="shared" si="28"/>
        <v>-0.95188668633041995</v>
      </c>
    </row>
    <row r="293" spans="1:9" x14ac:dyDescent="0.25">
      <c r="A293" s="3">
        <v>40603</v>
      </c>
      <c r="B293" s="4" t="s">
        <v>0</v>
      </c>
      <c r="C293" s="4">
        <v>299.25881399999997</v>
      </c>
      <c r="D293" s="6">
        <f t="shared" si="24"/>
        <v>-2.0606512461863367E-2</v>
      </c>
      <c r="E293" s="4">
        <f t="shared" si="25"/>
        <v>-4.8626355572021736E-4</v>
      </c>
      <c r="F293" s="6">
        <f t="shared" si="26"/>
        <v>-2.012024890614315E-2</v>
      </c>
      <c r="G293" s="4">
        <f t="shared" si="29"/>
        <v>1.4017827435851064E-2</v>
      </c>
      <c r="H293" s="4">
        <f t="shared" si="27"/>
        <v>-1.4353329000673056</v>
      </c>
      <c r="I293" s="4">
        <f t="shared" si="28"/>
        <v>-1.9490288002124836</v>
      </c>
    </row>
    <row r="294" spans="1:9" x14ac:dyDescent="0.25">
      <c r="A294" s="3">
        <v>40604</v>
      </c>
      <c r="B294" s="4" t="s">
        <v>0</v>
      </c>
      <c r="C294" s="4">
        <v>299.2737674</v>
      </c>
      <c r="D294" s="6">
        <f t="shared" si="24"/>
        <v>4.9968118900666473E-5</v>
      </c>
      <c r="E294" s="4">
        <f t="shared" si="25"/>
        <v>2.7188281513284385E-3</v>
      </c>
      <c r="F294" s="6">
        <f t="shared" si="26"/>
        <v>-2.6688600324277722E-3</v>
      </c>
      <c r="G294" s="4">
        <f t="shared" si="29"/>
        <v>4.9881274920152534E-2</v>
      </c>
      <c r="H294" s="4">
        <f t="shared" si="27"/>
        <v>-5.3504246567473476E-2</v>
      </c>
      <c r="I294" s="4">
        <f t="shared" si="28"/>
        <v>-0.92036988540504927</v>
      </c>
    </row>
    <row r="295" spans="1:9" x14ac:dyDescent="0.25">
      <c r="A295" s="3">
        <v>40605</v>
      </c>
      <c r="B295" s="4" t="s">
        <v>0</v>
      </c>
      <c r="C295" s="4">
        <v>303.64239679999997</v>
      </c>
      <c r="D295" s="6">
        <f t="shared" si="24"/>
        <v>1.4597435110846187E-2</v>
      </c>
      <c r="E295" s="4">
        <f t="shared" si="25"/>
        <v>-6.190643496902631E-3</v>
      </c>
      <c r="F295" s="6">
        <f t="shared" si="26"/>
        <v>2.0788078607748818E-2</v>
      </c>
      <c r="G295" s="4">
        <f t="shared" si="29"/>
        <v>1.9767402204765399E-2</v>
      </c>
      <c r="H295" s="4">
        <f t="shared" si="27"/>
        <v>1.0516343216175041</v>
      </c>
      <c r="I295" s="4">
        <f t="shared" si="28"/>
        <v>-1.4719059064066269</v>
      </c>
    </row>
    <row r="296" spans="1:9" x14ac:dyDescent="0.25">
      <c r="A296" s="3">
        <v>40606</v>
      </c>
      <c r="B296" s="4" t="s">
        <v>0</v>
      </c>
      <c r="C296" s="4">
        <v>299.18908140000002</v>
      </c>
      <c r="D296" s="6">
        <f t="shared" si="24"/>
        <v>-1.4666316189478688E-2</v>
      </c>
      <c r="E296" s="4">
        <f t="shared" si="25"/>
        <v>-6.2913963014543184E-3</v>
      </c>
      <c r="F296" s="6">
        <f t="shared" si="26"/>
        <v>-8.3749198880243708E-3</v>
      </c>
      <c r="G296" s="4">
        <f t="shared" si="29"/>
        <v>3.7265546453311885E-2</v>
      </c>
      <c r="H296" s="4">
        <f t="shared" si="27"/>
        <v>-0.22473626942561767</v>
      </c>
      <c r="I296" s="4">
        <f t="shared" si="28"/>
        <v>-0.94419172860234457</v>
      </c>
    </row>
    <row r="297" spans="1:9" x14ac:dyDescent="0.25">
      <c r="A297" s="3">
        <v>40609</v>
      </c>
      <c r="B297" s="4" t="s">
        <v>0</v>
      </c>
      <c r="C297" s="4">
        <v>294.72581680000002</v>
      </c>
      <c r="D297" s="6">
        <f t="shared" si="24"/>
        <v>-1.4917872601215861E-2</v>
      </c>
      <c r="E297" s="4">
        <f t="shared" si="25"/>
        <v>5.5953055861103392E-3</v>
      </c>
      <c r="F297" s="6">
        <f t="shared" si="26"/>
        <v>-2.05131781873262E-2</v>
      </c>
      <c r="G297" s="4">
        <f t="shared" si="29"/>
        <v>1.693646476418147E-2</v>
      </c>
      <c r="H297" s="4">
        <f t="shared" si="27"/>
        <v>-1.2111841799895002</v>
      </c>
      <c r="I297" s="4">
        <f t="shared" si="28"/>
        <v>-1.6524220921330919</v>
      </c>
    </row>
    <row r="298" spans="1:9" x14ac:dyDescent="0.25">
      <c r="A298" s="3">
        <v>40610</v>
      </c>
      <c r="B298" s="4" t="s">
        <v>0</v>
      </c>
      <c r="C298" s="4">
        <v>295.04957819999998</v>
      </c>
      <c r="D298" s="6">
        <f t="shared" si="24"/>
        <v>1.0985172711207383E-3</v>
      </c>
      <c r="E298" s="4">
        <f t="shared" si="25"/>
        <v>-1.1364294378820349E-3</v>
      </c>
      <c r="F298" s="6">
        <f t="shared" si="26"/>
        <v>2.234946709002773E-3</v>
      </c>
      <c r="G298" s="4">
        <f t="shared" si="29"/>
        <v>4.2429321829677152E-2</v>
      </c>
      <c r="H298" s="4">
        <f t="shared" si="27"/>
        <v>5.2674580045715964E-2</v>
      </c>
      <c r="I298" s="4">
        <f t="shared" si="28"/>
        <v>-0.92032583889616904</v>
      </c>
    </row>
    <row r="299" spans="1:9" x14ac:dyDescent="0.25">
      <c r="A299" s="3">
        <v>40611</v>
      </c>
      <c r="B299" s="4" t="s">
        <v>0</v>
      </c>
      <c r="C299" s="4">
        <v>294.780596</v>
      </c>
      <c r="D299" s="6">
        <f t="shared" si="24"/>
        <v>-9.1165085420882061E-4</v>
      </c>
      <c r="E299" s="4">
        <f t="shared" si="25"/>
        <v>-1.0194362466738473E-2</v>
      </c>
      <c r="F299" s="6">
        <f t="shared" si="26"/>
        <v>9.2827116125296528E-3</v>
      </c>
      <c r="G299" s="4">
        <f t="shared" si="29"/>
        <v>1.7041231787061878E-2</v>
      </c>
      <c r="H299" s="4">
        <f t="shared" si="27"/>
        <v>0.54472069440293136</v>
      </c>
      <c r="I299" s="4">
        <f t="shared" si="28"/>
        <v>-1.0672988506600785</v>
      </c>
    </row>
    <row r="300" spans="1:9" x14ac:dyDescent="0.25">
      <c r="A300" s="3">
        <v>40612</v>
      </c>
      <c r="B300" s="4" t="s">
        <v>0</v>
      </c>
      <c r="C300" s="4">
        <v>289.0669934</v>
      </c>
      <c r="D300" s="6">
        <f t="shared" si="24"/>
        <v>-1.9382560037974825E-2</v>
      </c>
      <c r="E300" s="4">
        <f t="shared" si="25"/>
        <v>-4.1487093949269579E-3</v>
      </c>
      <c r="F300" s="6">
        <f t="shared" si="26"/>
        <v>-1.5233850643047867E-2</v>
      </c>
      <c r="G300" s="4">
        <f t="shared" si="29"/>
        <v>2.0439396341066885E-2</v>
      </c>
      <c r="H300" s="4">
        <f t="shared" si="27"/>
        <v>-0.74531803135692309</v>
      </c>
      <c r="I300" s="4">
        <f t="shared" si="28"/>
        <v>-1.1966880171375525</v>
      </c>
    </row>
    <row r="301" spans="1:9" x14ac:dyDescent="0.25">
      <c r="A301" s="3">
        <v>40613</v>
      </c>
      <c r="B301" s="4" t="s">
        <v>0</v>
      </c>
      <c r="C301" s="4">
        <v>287.27869090000002</v>
      </c>
      <c r="D301" s="6">
        <f t="shared" si="24"/>
        <v>-6.1864638330582445E-3</v>
      </c>
      <c r="E301" s="4">
        <f t="shared" si="25"/>
        <v>-1.2469484496350136E-5</v>
      </c>
      <c r="F301" s="6">
        <f t="shared" si="26"/>
        <v>-6.1739943485618941E-3</v>
      </c>
      <c r="G301" s="4">
        <f t="shared" si="29"/>
        <v>2.72424903218603E-2</v>
      </c>
      <c r="H301" s="4">
        <f t="shared" si="27"/>
        <v>-0.22663105595774669</v>
      </c>
      <c r="I301" s="4">
        <f t="shared" si="28"/>
        <v>-0.94461935096693439</v>
      </c>
    </row>
    <row r="302" spans="1:9" x14ac:dyDescent="0.25">
      <c r="A302" s="3">
        <v>40616</v>
      </c>
      <c r="B302" s="4" t="s">
        <v>0</v>
      </c>
      <c r="C302" s="4">
        <v>283.9312425</v>
      </c>
      <c r="D302" s="6">
        <f t="shared" si="24"/>
        <v>-1.1652268358342129E-2</v>
      </c>
      <c r="E302" s="4">
        <f t="shared" si="25"/>
        <v>-7.6888686998856934E-3</v>
      </c>
      <c r="F302" s="6">
        <f t="shared" si="26"/>
        <v>-3.9633996584564355E-3</v>
      </c>
      <c r="G302" s="4">
        <f t="shared" si="29"/>
        <v>1.3915255160949944E-2</v>
      </c>
      <c r="H302" s="4">
        <f t="shared" si="27"/>
        <v>-0.28482407348007754</v>
      </c>
      <c r="I302" s="4">
        <f t="shared" si="28"/>
        <v>-0.95950090962156498</v>
      </c>
    </row>
    <row r="303" spans="1:9" x14ac:dyDescent="0.25">
      <c r="A303" s="3">
        <v>40617</v>
      </c>
      <c r="B303" s="4" t="s">
        <v>0</v>
      </c>
      <c r="C303" s="4">
        <v>283.71703939999998</v>
      </c>
      <c r="D303" s="6">
        <f t="shared" si="24"/>
        <v>-7.5441891534715557E-4</v>
      </c>
      <c r="E303" s="4">
        <f t="shared" si="25"/>
        <v>-8.3011414866608086E-3</v>
      </c>
      <c r="F303" s="6">
        <f t="shared" si="26"/>
        <v>7.5467225713136531E-3</v>
      </c>
      <c r="G303" s="4">
        <f t="shared" si="29"/>
        <v>1.2201481786921271E-2</v>
      </c>
      <c r="H303" s="4">
        <f t="shared" si="27"/>
        <v>0.61850869452618129</v>
      </c>
      <c r="I303" s="4">
        <f t="shared" si="28"/>
        <v>-1.1102150358069132</v>
      </c>
    </row>
    <row r="304" spans="1:9" x14ac:dyDescent="0.25">
      <c r="A304" s="3">
        <v>40618</v>
      </c>
      <c r="B304" s="4" t="s">
        <v>0</v>
      </c>
      <c r="C304" s="4">
        <v>277.51030229999998</v>
      </c>
      <c r="D304" s="6">
        <f t="shared" si="24"/>
        <v>-2.1876504538204337E-2</v>
      </c>
      <c r="E304" s="4">
        <f t="shared" si="25"/>
        <v>-6.349053349391863E-3</v>
      </c>
      <c r="F304" s="6">
        <f t="shared" si="26"/>
        <v>-1.5527451188812474E-2</v>
      </c>
      <c r="G304" s="4">
        <f t="shared" si="29"/>
        <v>2.2328943267862559E-2</v>
      </c>
      <c r="H304" s="4">
        <f t="shared" si="27"/>
        <v>-0.695395702454075</v>
      </c>
      <c r="I304" s="4">
        <f t="shared" si="28"/>
        <v>-1.160726124700471</v>
      </c>
    </row>
    <row r="305" spans="1:9" x14ac:dyDescent="0.25">
      <c r="A305" s="3">
        <v>40619</v>
      </c>
      <c r="B305" s="4" t="s">
        <v>0</v>
      </c>
      <c r="C305" s="4">
        <v>279.6323458</v>
      </c>
      <c r="D305" s="6">
        <f t="shared" si="24"/>
        <v>7.64671971603419E-3</v>
      </c>
      <c r="E305" s="4">
        <f t="shared" si="25"/>
        <v>-3.8573691665490474E-3</v>
      </c>
      <c r="F305" s="6">
        <f t="shared" si="26"/>
        <v>1.1504088882583238E-2</v>
      </c>
      <c r="G305" s="4">
        <f t="shared" si="29"/>
        <v>2.5863682966873056E-2</v>
      </c>
      <c r="H305" s="4">
        <f t="shared" si="27"/>
        <v>0.44479701121135778</v>
      </c>
      <c r="I305" s="4">
        <f t="shared" si="28"/>
        <v>-1.0178607237959512</v>
      </c>
    </row>
    <row r="306" spans="1:9" x14ac:dyDescent="0.25">
      <c r="A306" s="3">
        <v>40620</v>
      </c>
      <c r="B306" s="4" t="s">
        <v>0</v>
      </c>
      <c r="C306" s="4">
        <v>279.48290100000003</v>
      </c>
      <c r="D306" s="6">
        <f t="shared" si="24"/>
        <v>-5.3443316642222763E-4</v>
      </c>
      <c r="E306" s="4">
        <f t="shared" si="25"/>
        <v>-8.5938225565158777E-3</v>
      </c>
      <c r="F306" s="6">
        <f t="shared" si="26"/>
        <v>8.0593893900936502E-3</v>
      </c>
      <c r="G306" s="4">
        <f t="shared" si="29"/>
        <v>1.8870009680100504E-2</v>
      </c>
      <c r="H306" s="4">
        <f t="shared" si="27"/>
        <v>0.42710043750495441</v>
      </c>
      <c r="I306" s="4">
        <f t="shared" si="28"/>
        <v>-1.0101459250631344</v>
      </c>
    </row>
    <row r="307" spans="1:9" x14ac:dyDescent="0.25">
      <c r="A307" s="3">
        <v>40623</v>
      </c>
      <c r="B307" s="4" t="s">
        <v>0</v>
      </c>
      <c r="C307" s="4">
        <v>287.17410690000003</v>
      </c>
      <c r="D307" s="6">
        <f t="shared" si="24"/>
        <v>2.7519414863952624E-2</v>
      </c>
      <c r="E307" s="4">
        <f t="shared" si="25"/>
        <v>-3.7765565697563549E-3</v>
      </c>
      <c r="F307" s="6">
        <f t="shared" si="26"/>
        <v>3.1295971433708977E-2</v>
      </c>
      <c r="G307" s="4">
        <f t="shared" si="29"/>
        <v>1.7095393918109311E-2</v>
      </c>
      <c r="H307" s="4">
        <f t="shared" si="27"/>
        <v>1.8306668792555205</v>
      </c>
      <c r="I307" s="4">
        <f t="shared" si="28"/>
        <v>-2.5946091446062458</v>
      </c>
    </row>
    <row r="308" spans="1:9" x14ac:dyDescent="0.25">
      <c r="A308" s="3">
        <v>40624</v>
      </c>
      <c r="B308" s="4" t="s">
        <v>0</v>
      </c>
      <c r="C308" s="4">
        <v>287.58255500000001</v>
      </c>
      <c r="D308" s="6">
        <f t="shared" si="24"/>
        <v>1.4223012806033274E-3</v>
      </c>
      <c r="E308" s="4">
        <f t="shared" si="25"/>
        <v>2.1380725281472074E-3</v>
      </c>
      <c r="F308" s="6">
        <f t="shared" si="26"/>
        <v>-7.1577124754387995E-4</v>
      </c>
      <c r="G308" s="4">
        <f t="shared" si="29"/>
        <v>6.3466437063525907E-2</v>
      </c>
      <c r="H308" s="4">
        <f t="shared" si="27"/>
        <v>-1.1277949112338511E-2</v>
      </c>
      <c r="I308" s="4">
        <f t="shared" si="28"/>
        <v>-0.91900212927276292</v>
      </c>
    </row>
    <row r="309" spans="1:9" x14ac:dyDescent="0.25">
      <c r="A309" s="3">
        <v>40625</v>
      </c>
      <c r="B309" s="4" t="s">
        <v>0</v>
      </c>
      <c r="C309" s="4">
        <v>289.993539</v>
      </c>
      <c r="D309" s="6">
        <f t="shared" si="24"/>
        <v>8.3836239649515074E-3</v>
      </c>
      <c r="E309" s="4">
        <f t="shared" si="25"/>
        <v>1.0356457479210299E-2</v>
      </c>
      <c r="F309" s="6">
        <f t="shared" si="26"/>
        <v>-1.972833514258792E-3</v>
      </c>
      <c r="G309" s="4">
        <f t="shared" si="29"/>
        <v>2.4736806328859322E-2</v>
      </c>
      <c r="H309" s="4">
        <f t="shared" si="27"/>
        <v>-7.975295953856322E-2</v>
      </c>
      <c r="I309" s="4">
        <f t="shared" si="28"/>
        <v>-0.92211880048225248</v>
      </c>
    </row>
    <row r="310" spans="1:9" x14ac:dyDescent="0.25">
      <c r="A310" s="3">
        <v>40626</v>
      </c>
      <c r="B310" s="4" t="s">
        <v>0</v>
      </c>
      <c r="C310" s="4">
        <v>292.34971400000001</v>
      </c>
      <c r="D310" s="6">
        <f t="shared" si="24"/>
        <v>8.1249223969779797E-3</v>
      </c>
      <c r="E310" s="4">
        <f t="shared" si="25"/>
        <v>8.9717655722494141E-3</v>
      </c>
      <c r="F310" s="6">
        <f t="shared" si="26"/>
        <v>-8.4684317527143442E-4</v>
      </c>
      <c r="G310" s="4">
        <f t="shared" si="29"/>
        <v>1.1021453438434846E-2</v>
      </c>
      <c r="H310" s="4">
        <f t="shared" si="27"/>
        <v>-7.6835889204799321E-2</v>
      </c>
      <c r="I310" s="4">
        <f t="shared" si="28"/>
        <v>-0.9218904101396187</v>
      </c>
    </row>
    <row r="311" spans="1:9" x14ac:dyDescent="0.25">
      <c r="A311" s="3">
        <v>40627</v>
      </c>
      <c r="B311" s="4" t="s">
        <v>0</v>
      </c>
      <c r="C311" s="4">
        <v>288.7880624</v>
      </c>
      <c r="D311" s="6">
        <f t="shared" si="24"/>
        <v>-1.2182846192214864E-2</v>
      </c>
      <c r="E311" s="4">
        <f t="shared" si="25"/>
        <v>3.6406306198283962E-3</v>
      </c>
      <c r="F311" s="6">
        <f t="shared" si="26"/>
        <v>-1.5823476812043262E-2</v>
      </c>
      <c r="G311" s="4">
        <f t="shared" si="29"/>
        <v>7.0330854486128002E-3</v>
      </c>
      <c r="H311" s="4">
        <f t="shared" si="27"/>
        <v>-2.2498627277682615</v>
      </c>
      <c r="I311" s="4">
        <f t="shared" si="28"/>
        <v>-3.4498796801050937</v>
      </c>
    </row>
    <row r="312" spans="1:9" x14ac:dyDescent="0.25">
      <c r="A312" s="3">
        <v>40630</v>
      </c>
      <c r="B312" s="4" t="s">
        <v>0</v>
      </c>
      <c r="C312" s="4">
        <v>286.60623500000003</v>
      </c>
      <c r="D312" s="6">
        <f t="shared" si="24"/>
        <v>-7.5551163087133706E-3</v>
      </c>
      <c r="E312" s="4">
        <f t="shared" si="25"/>
        <v>5.6732487001004001E-3</v>
      </c>
      <c r="F312" s="6">
        <f t="shared" si="26"/>
        <v>-1.3228365008813772E-2</v>
      </c>
      <c r="G312" s="4">
        <f t="shared" si="29"/>
        <v>7.7550795537259437E-2</v>
      </c>
      <c r="H312" s="4">
        <f t="shared" si="27"/>
        <v>-0.17057678025312037</v>
      </c>
      <c r="I312" s="4">
        <f t="shared" si="28"/>
        <v>-0.93348675218543342</v>
      </c>
    </row>
    <row r="313" spans="1:9" x14ac:dyDescent="0.25">
      <c r="A313" s="3">
        <v>40631</v>
      </c>
      <c r="B313" s="4" t="s">
        <v>0</v>
      </c>
      <c r="C313" s="4">
        <v>289.77933589999998</v>
      </c>
      <c r="D313" s="6">
        <f t="shared" si="24"/>
        <v>1.1071290546069075E-2</v>
      </c>
      <c r="E313" s="4">
        <f t="shared" si="25"/>
        <v>-2.1691245518068013E-3</v>
      </c>
      <c r="F313" s="6">
        <f t="shared" si="26"/>
        <v>1.3240415097875876E-2</v>
      </c>
      <c r="G313" s="4">
        <f t="shared" si="29"/>
        <v>3.0587133402728357E-2</v>
      </c>
      <c r="H313" s="4">
        <f t="shared" si="27"/>
        <v>0.43287531798239182</v>
      </c>
      <c r="I313" s="4">
        <f t="shared" si="28"/>
        <v>-1.0126290536638511</v>
      </c>
    </row>
    <row r="314" spans="1:9" x14ac:dyDescent="0.25">
      <c r="A314" s="3">
        <v>40632</v>
      </c>
      <c r="B314" s="4" t="s">
        <v>0</v>
      </c>
      <c r="C314" s="4">
        <v>289.83411510000002</v>
      </c>
      <c r="D314" s="6">
        <f t="shared" si="24"/>
        <v>1.8903763385994196E-4</v>
      </c>
      <c r="E314" s="4">
        <f t="shared" si="25"/>
        <v>-6.618966117426581E-3</v>
      </c>
      <c r="F314" s="6">
        <f t="shared" si="26"/>
        <v>6.8080037512865234E-3</v>
      </c>
      <c r="G314" s="4">
        <f t="shared" si="29"/>
        <v>1.9559341627176714E-2</v>
      </c>
      <c r="H314" s="4">
        <f t="shared" si="27"/>
        <v>0.34806916720689346</v>
      </c>
      <c r="I314" s="4">
        <f t="shared" si="28"/>
        <v>-0.97951460578472294</v>
      </c>
    </row>
    <row r="315" spans="1:9" x14ac:dyDescent="0.25">
      <c r="A315" s="3">
        <v>40633</v>
      </c>
      <c r="B315" s="4" t="s">
        <v>0</v>
      </c>
      <c r="C315" s="4">
        <v>292.28495570000001</v>
      </c>
      <c r="D315" s="6">
        <f t="shared" si="24"/>
        <v>8.4560114641935476E-3</v>
      </c>
      <c r="E315" s="4">
        <f t="shared" si="25"/>
        <v>1.9185569819147362E-3</v>
      </c>
      <c r="F315" s="6">
        <f t="shared" si="26"/>
        <v>6.5374544822788113E-3</v>
      </c>
      <c r="G315" s="4">
        <f t="shared" si="29"/>
        <v>1.4957025745415324E-2</v>
      </c>
      <c r="H315" s="4">
        <f t="shared" si="27"/>
        <v>0.43708251851359509</v>
      </c>
      <c r="I315" s="4">
        <f t="shared" si="28"/>
        <v>-1.0144590971997665</v>
      </c>
    </row>
    <row r="316" spans="1:9" x14ac:dyDescent="0.25">
      <c r="A316" s="3">
        <v>40634</v>
      </c>
      <c r="B316" s="4" t="s">
        <v>0</v>
      </c>
      <c r="C316" s="4">
        <v>294.79554940000003</v>
      </c>
      <c r="D316" s="6">
        <f t="shared" si="24"/>
        <v>8.5895413056321576E-3</v>
      </c>
      <c r="E316" s="4">
        <f t="shared" si="25"/>
        <v>3.4630415008929816E-3</v>
      </c>
      <c r="F316" s="6">
        <f t="shared" si="26"/>
        <v>5.126499804739176E-3</v>
      </c>
      <c r="G316" s="4">
        <f t="shared" si="29"/>
        <v>1.6827312278858159E-2</v>
      </c>
      <c r="H316" s="4">
        <f t="shared" si="27"/>
        <v>0.30465351327556406</v>
      </c>
      <c r="I316" s="4">
        <f t="shared" si="28"/>
        <v>-0.96534541478024471</v>
      </c>
    </row>
    <row r="317" spans="1:9" x14ac:dyDescent="0.25">
      <c r="A317" s="3">
        <v>40637</v>
      </c>
      <c r="B317" s="4" t="s">
        <v>0</v>
      </c>
      <c r="C317" s="4">
        <v>292.74323900000002</v>
      </c>
      <c r="D317" s="6">
        <f t="shared" si="24"/>
        <v>-6.9618093087805959E-3</v>
      </c>
      <c r="E317" s="4">
        <f t="shared" si="25"/>
        <v>3.2906224288725165E-3</v>
      </c>
      <c r="F317" s="6">
        <f t="shared" si="26"/>
        <v>-1.0252431737653112E-2</v>
      </c>
      <c r="G317" s="4">
        <f t="shared" si="29"/>
        <v>1.3256546110401448E-2</v>
      </c>
      <c r="H317" s="4">
        <f t="shared" si="27"/>
        <v>-0.77338634454782862</v>
      </c>
      <c r="I317" s="4">
        <f t="shared" si="28"/>
        <v>-1.218001752171199</v>
      </c>
    </row>
    <row r="318" spans="1:9" x14ac:dyDescent="0.25">
      <c r="A318" s="3">
        <v>40638</v>
      </c>
      <c r="B318" s="4" t="s">
        <v>0</v>
      </c>
      <c r="C318" s="4">
        <v>283.48293840000002</v>
      </c>
      <c r="D318" s="6">
        <f t="shared" si="24"/>
        <v>-3.1632841911679449E-2</v>
      </c>
      <c r="E318" s="4">
        <f t="shared" si="25"/>
        <v>5.8731361060449941E-3</v>
      </c>
      <c r="F318" s="6">
        <f t="shared" si="26"/>
        <v>-3.7505978017724442E-2</v>
      </c>
      <c r="G318" s="4">
        <f t="shared" si="29"/>
        <v>2.7518366320891271E-2</v>
      </c>
      <c r="H318" s="4">
        <f t="shared" si="27"/>
        <v>-1.3629434821954101</v>
      </c>
      <c r="I318" s="4">
        <f t="shared" si="28"/>
        <v>-1.8477460010341475</v>
      </c>
    </row>
    <row r="319" spans="1:9" x14ac:dyDescent="0.25">
      <c r="A319" s="3">
        <v>40639</v>
      </c>
      <c r="B319" s="4" t="s">
        <v>0</v>
      </c>
      <c r="C319" s="4">
        <v>286.0184347</v>
      </c>
      <c r="D319" s="6">
        <f t="shared" si="24"/>
        <v>8.9440878322713784E-3</v>
      </c>
      <c r="E319" s="4">
        <f t="shared" si="25"/>
        <v>-3.1421648260739152E-5</v>
      </c>
      <c r="F319" s="6">
        <f t="shared" si="26"/>
        <v>8.9755094805321171E-3</v>
      </c>
      <c r="G319" s="4">
        <f t="shared" si="29"/>
        <v>4.82748978149833E-2</v>
      </c>
      <c r="H319" s="4">
        <f t="shared" si="27"/>
        <v>0.1859249814454573</v>
      </c>
      <c r="I319" s="4">
        <f t="shared" si="28"/>
        <v>-0.93622258256741953</v>
      </c>
    </row>
    <row r="320" spans="1:9" x14ac:dyDescent="0.25">
      <c r="A320" s="3">
        <v>40640</v>
      </c>
      <c r="B320" s="4" t="s">
        <v>0</v>
      </c>
      <c r="C320" s="4">
        <v>288.91754859999998</v>
      </c>
      <c r="D320" s="6">
        <f t="shared" si="24"/>
        <v>1.0136108545034194E-2</v>
      </c>
      <c r="E320" s="4">
        <f t="shared" si="25"/>
        <v>-1.4224468662496735E-2</v>
      </c>
      <c r="F320" s="6">
        <f t="shared" si="26"/>
        <v>2.4360577207530931E-2</v>
      </c>
      <c r="G320" s="4">
        <f t="shared" si="29"/>
        <v>2.0130636221102036E-2</v>
      </c>
      <c r="H320" s="4">
        <f t="shared" si="27"/>
        <v>1.2101245554273561</v>
      </c>
      <c r="I320" s="4">
        <f t="shared" si="28"/>
        <v>-1.6511392530288007</v>
      </c>
    </row>
    <row r="321" spans="1:9" x14ac:dyDescent="0.25">
      <c r="A321" s="3">
        <v>40641</v>
      </c>
      <c r="B321" s="4" t="s">
        <v>0</v>
      </c>
      <c r="C321" s="4">
        <v>288.00098209999999</v>
      </c>
      <c r="D321" s="6">
        <f t="shared" si="24"/>
        <v>-3.1724154674624971E-3</v>
      </c>
      <c r="E321" s="4">
        <f t="shared" si="25"/>
        <v>-6.2682861923547602E-3</v>
      </c>
      <c r="F321" s="6">
        <f t="shared" si="26"/>
        <v>3.0958707248922631E-3</v>
      </c>
      <c r="G321" s="4">
        <f t="shared" si="29"/>
        <v>4.2596581166876972E-2</v>
      </c>
      <c r="H321" s="4">
        <f t="shared" si="27"/>
        <v>7.2678854501581611E-2</v>
      </c>
      <c r="I321" s="4">
        <f t="shared" si="28"/>
        <v>-0.92157964115050361</v>
      </c>
    </row>
    <row r="322" spans="1:9" x14ac:dyDescent="0.25">
      <c r="A322" s="3">
        <v>40644</v>
      </c>
      <c r="B322" s="4" t="s">
        <v>0</v>
      </c>
      <c r="C322" s="4">
        <v>287.60745709999998</v>
      </c>
      <c r="D322" s="6">
        <f t="shared" si="24"/>
        <v>-1.3664015904757258E-3</v>
      </c>
      <c r="E322" s="4">
        <f t="shared" si="25"/>
        <v>6.6139068755107222E-3</v>
      </c>
      <c r="F322" s="6">
        <f t="shared" si="26"/>
        <v>-7.9803084659864475E-3</v>
      </c>
      <c r="G322" s="4">
        <f t="shared" si="29"/>
        <v>1.7188352430251158E-2</v>
      </c>
      <c r="H322" s="4">
        <f t="shared" si="27"/>
        <v>-0.46428582950982922</v>
      </c>
      <c r="I322" s="4">
        <f t="shared" si="28"/>
        <v>-1.0267191989464877</v>
      </c>
    </row>
    <row r="323" spans="1:9" x14ac:dyDescent="0.25">
      <c r="A323" s="3">
        <v>40645</v>
      </c>
      <c r="B323" s="4" t="s">
        <v>0</v>
      </c>
      <c r="C323" s="4">
        <v>284.24008090000001</v>
      </c>
      <c r="D323" s="6">
        <f t="shared" si="24"/>
        <v>-1.1708236754199122E-2</v>
      </c>
      <c r="E323" s="4">
        <f t="shared" si="25"/>
        <v>1.8914298344226311E-3</v>
      </c>
      <c r="F323" s="6">
        <f t="shared" si="26"/>
        <v>-1.3599666588621754E-2</v>
      </c>
      <c r="G323" s="4">
        <f t="shared" si="29"/>
        <v>1.7960754819034058E-2</v>
      </c>
      <c r="H323" s="4">
        <f t="shared" si="27"/>
        <v>-0.75718792030997462</v>
      </c>
      <c r="I323" s="4">
        <f t="shared" si="28"/>
        <v>-1.205605306536345</v>
      </c>
    </row>
    <row r="324" spans="1:9" x14ac:dyDescent="0.25">
      <c r="A324" s="3">
        <v>40646</v>
      </c>
      <c r="B324" s="4" t="s">
        <v>0</v>
      </c>
      <c r="C324" s="4">
        <v>287.06451820000001</v>
      </c>
      <c r="D324" s="6">
        <f t="shared" ref="D324:D387" si="30">(C324-C323)/C323</f>
        <v>9.9368016328199669E-3</v>
      </c>
      <c r="E324" s="4">
        <f t="shared" si="25"/>
        <v>-1.4941403514639653E-3</v>
      </c>
      <c r="F324" s="6">
        <f t="shared" si="26"/>
        <v>1.1430941984283932E-2</v>
      </c>
      <c r="G324" s="4">
        <f t="shared" si="29"/>
        <v>2.7374443719777417E-2</v>
      </c>
      <c r="H324" s="4">
        <f t="shared" si="27"/>
        <v>0.4175771424361524</v>
      </c>
      <c r="I324" s="4">
        <f t="shared" si="28"/>
        <v>-1.006123868147244</v>
      </c>
    </row>
    <row r="325" spans="1:9" x14ac:dyDescent="0.25">
      <c r="A325" s="3">
        <v>40647</v>
      </c>
      <c r="B325" s="4" t="s">
        <v>0</v>
      </c>
      <c r="C325" s="4">
        <v>288.1753291</v>
      </c>
      <c r="D325" s="6">
        <f t="shared" si="30"/>
        <v>3.8695513711174837E-3</v>
      </c>
      <c r="E325" s="4">
        <f t="shared" si="25"/>
        <v>-4.8940803536839297E-3</v>
      </c>
      <c r="F325" s="6">
        <f t="shared" si="26"/>
        <v>8.7636317248014142E-3</v>
      </c>
      <c r="G325" s="4">
        <f t="shared" si="29"/>
        <v>1.8440623754500868E-2</v>
      </c>
      <c r="H325" s="4">
        <f t="shared" si="27"/>
        <v>0.47523510275309661</v>
      </c>
      <c r="I325" s="4">
        <f t="shared" si="28"/>
        <v>-1.0318627346490459</v>
      </c>
    </row>
    <row r="326" spans="1:9" x14ac:dyDescent="0.25">
      <c r="A326" s="3">
        <v>40648</v>
      </c>
      <c r="B326" s="4" t="s">
        <v>0</v>
      </c>
      <c r="C326" s="4">
        <v>264.35958440000002</v>
      </c>
      <c r="D326" s="6">
        <f t="shared" si="30"/>
        <v>-8.2643246298629736E-2</v>
      </c>
      <c r="E326" s="4">
        <f t="shared" si="25"/>
        <v>2.1303673536555686E-4</v>
      </c>
      <c r="F326" s="6">
        <f t="shared" si="26"/>
        <v>-8.2856283033995295E-2</v>
      </c>
      <c r="G326" s="4">
        <f t="shared" si="29"/>
        <v>1.8472892288530305E-2</v>
      </c>
      <c r="H326" s="4">
        <f t="shared" si="27"/>
        <v>-4.4852902155143406</v>
      </c>
      <c r="I326" s="4">
        <f t="shared" si="28"/>
        <v>-10.977852691899011</v>
      </c>
    </row>
    <row r="327" spans="1:9" x14ac:dyDescent="0.25">
      <c r="A327" s="3">
        <v>40651</v>
      </c>
      <c r="B327" s="4" t="s">
        <v>0</v>
      </c>
      <c r="C327" s="4">
        <v>262.43675960000002</v>
      </c>
      <c r="D327" s="6">
        <f t="shared" si="30"/>
        <v>-7.2735202862574963E-3</v>
      </c>
      <c r="E327" s="4">
        <f t="shared" ref="E327:E390" si="31">+$M$16*D326+$M$17*D325+$M$18*D324</f>
        <v>4.5207636741215829E-3</v>
      </c>
      <c r="F327" s="6">
        <f t="shared" ref="F327:F390" si="32">D327-E327</f>
        <v>-1.1794283960379079E-2</v>
      </c>
      <c r="G327" s="4">
        <f t="shared" si="29"/>
        <v>0.15443367844797609</v>
      </c>
      <c r="H327" s="4">
        <f t="shared" ref="H327:H390" si="33">F327/G327</f>
        <v>-7.6371191044006678E-2</v>
      </c>
      <c r="I327" s="4">
        <f t="shared" ref="I327:I390" si="34">LN(_xlfn.NORM.DIST(H327,0,1,FALSE))</f>
        <v>-0.9218548126154128</v>
      </c>
    </row>
    <row r="328" spans="1:9" x14ac:dyDescent="0.25">
      <c r="A328" s="3">
        <v>40652</v>
      </c>
      <c r="B328" s="4" t="s">
        <v>0</v>
      </c>
      <c r="C328" s="4">
        <v>259.7916745</v>
      </c>
      <c r="D328" s="6">
        <f t="shared" si="30"/>
        <v>-1.0078942843340979E-2</v>
      </c>
      <c r="E328" s="4">
        <f t="shared" si="31"/>
        <v>-3.0407882307325749E-2</v>
      </c>
      <c r="F328" s="6">
        <f t="shared" si="32"/>
        <v>2.0328939463984771E-2</v>
      </c>
      <c r="G328" s="4">
        <f t="shared" ref="G328:G391" si="35">SQRT($M$12 + $M$13 *H327^2+$M$14*G327^2)</f>
        <v>5.922123282911429E-2</v>
      </c>
      <c r="H328" s="4">
        <f t="shared" si="33"/>
        <v>0.34327112916823099</v>
      </c>
      <c r="I328" s="4">
        <f t="shared" si="34"/>
        <v>-0.97785606726488883</v>
      </c>
    </row>
    <row r="329" spans="1:9" x14ac:dyDescent="0.25">
      <c r="A329" s="3">
        <v>40653</v>
      </c>
      <c r="B329" s="4" t="s">
        <v>0</v>
      </c>
      <c r="C329" s="4">
        <v>261.88384159999998</v>
      </c>
      <c r="D329" s="6">
        <f t="shared" si="30"/>
        <v>8.0532492198859256E-3</v>
      </c>
      <c r="E329" s="4">
        <f t="shared" si="31"/>
        <v>-2.8090394217645229E-2</v>
      </c>
      <c r="F329" s="6">
        <f t="shared" si="32"/>
        <v>3.6143643437531153E-2</v>
      </c>
      <c r="G329" s="4">
        <f t="shared" si="35"/>
        <v>2.5983049240824067E-2</v>
      </c>
      <c r="H329" s="4">
        <f t="shared" si="33"/>
        <v>1.3910470284889795</v>
      </c>
      <c r="I329" s="4">
        <f t="shared" si="34"/>
        <v>-1.8864444509386826</v>
      </c>
    </row>
    <row r="330" spans="1:9" x14ac:dyDescent="0.25">
      <c r="A330" s="3">
        <v>40654</v>
      </c>
      <c r="B330" s="4" t="s">
        <v>0</v>
      </c>
      <c r="C330" s="4">
        <v>261.57002879999999</v>
      </c>
      <c r="D330" s="6">
        <f t="shared" si="30"/>
        <v>-1.1982900437183513E-3</v>
      </c>
      <c r="E330" s="4">
        <f t="shared" si="31"/>
        <v>-6.0803409919915055E-3</v>
      </c>
      <c r="F330" s="6">
        <f t="shared" si="32"/>
        <v>4.8820509482731542E-3</v>
      </c>
      <c r="G330" s="4">
        <f t="shared" si="35"/>
        <v>4.9091378292946769E-2</v>
      </c>
      <c r="H330" s="4">
        <f t="shared" si="33"/>
        <v>9.9448235475079041E-2</v>
      </c>
      <c r="I330" s="4">
        <f t="shared" si="34"/>
        <v>-0.92388350897422611</v>
      </c>
    </row>
    <row r="331" spans="1:9" x14ac:dyDescent="0.25">
      <c r="A331" s="3">
        <v>40658</v>
      </c>
      <c r="B331" s="4" t="s">
        <v>0</v>
      </c>
      <c r="C331" s="4">
        <v>261.54512620000003</v>
      </c>
      <c r="D331" s="6">
        <f t="shared" si="30"/>
        <v>-9.5204332523136893E-5</v>
      </c>
      <c r="E331" s="4">
        <f t="shared" si="31"/>
        <v>-8.1326997749169364E-6</v>
      </c>
      <c r="F331" s="6">
        <f t="shared" si="32"/>
        <v>-8.7071632748219956E-5</v>
      </c>
      <c r="G331" s="4">
        <f t="shared" si="35"/>
        <v>1.9689148725503015E-2</v>
      </c>
      <c r="H331" s="4">
        <f t="shared" si="33"/>
        <v>-4.4223157619525501E-3</v>
      </c>
      <c r="I331" s="4">
        <f t="shared" si="34"/>
        <v>-0.91894831164302182</v>
      </c>
    </row>
    <row r="332" spans="1:9" x14ac:dyDescent="0.25">
      <c r="A332" s="3">
        <v>40659</v>
      </c>
      <c r="B332" s="4" t="s">
        <v>0</v>
      </c>
      <c r="C332" s="4">
        <v>265.41561610000002</v>
      </c>
      <c r="D332" s="6">
        <f t="shared" si="30"/>
        <v>1.4798554865978593E-2</v>
      </c>
      <c r="E332" s="4">
        <f t="shared" si="31"/>
        <v>2.0082421043539078E-3</v>
      </c>
      <c r="F332" s="6">
        <f t="shared" si="32"/>
        <v>1.2790312761624685E-2</v>
      </c>
      <c r="G332" s="4">
        <f t="shared" si="35"/>
        <v>9.0166824699678735E-3</v>
      </c>
      <c r="H332" s="4">
        <f t="shared" si="33"/>
        <v>1.4185164892104998</v>
      </c>
      <c r="I332" s="4">
        <f t="shared" si="34"/>
        <v>-1.9250330482857139</v>
      </c>
    </row>
    <row r="333" spans="1:9" x14ac:dyDescent="0.25">
      <c r="A333" s="3">
        <v>40660</v>
      </c>
      <c r="B333" s="4" t="s">
        <v>0</v>
      </c>
      <c r="C333" s="4">
        <v>267.87640549999998</v>
      </c>
      <c r="D333" s="6">
        <f t="shared" si="30"/>
        <v>9.2714567294819895E-3</v>
      </c>
      <c r="E333" s="4">
        <f t="shared" si="31"/>
        <v>-4.0307764119936948E-4</v>
      </c>
      <c r="F333" s="6">
        <f t="shared" si="32"/>
        <v>9.6745343706813591E-3</v>
      </c>
      <c r="G333" s="4">
        <f t="shared" si="35"/>
        <v>4.9138966401668149E-2</v>
      </c>
      <c r="H333" s="4">
        <f t="shared" si="33"/>
        <v>0.19688111246786283</v>
      </c>
      <c r="I333" s="4">
        <f t="shared" si="34"/>
        <v>-0.93831961942796427</v>
      </c>
    </row>
    <row r="334" spans="1:9" x14ac:dyDescent="0.25">
      <c r="A334" s="3">
        <v>40661</v>
      </c>
      <c r="B334" s="4" t="s">
        <v>0</v>
      </c>
      <c r="C334" s="4">
        <v>267.98098950000002</v>
      </c>
      <c r="D334" s="6">
        <f t="shared" si="30"/>
        <v>3.9041885680389017E-4</v>
      </c>
      <c r="E334" s="4">
        <f t="shared" si="31"/>
        <v>5.6282088630863758E-3</v>
      </c>
      <c r="F334" s="6">
        <f t="shared" si="32"/>
        <v>-5.2377900062824858E-3</v>
      </c>
      <c r="G334" s="4">
        <f t="shared" si="35"/>
        <v>2.0553952529940259E-2</v>
      </c>
      <c r="H334" s="4">
        <f t="shared" si="33"/>
        <v>-0.25483127873594003</v>
      </c>
      <c r="I334" s="4">
        <f t="shared" si="34"/>
        <v>-0.95140802351576992</v>
      </c>
    </row>
    <row r="335" spans="1:9" x14ac:dyDescent="0.25">
      <c r="A335" s="3">
        <v>40662</v>
      </c>
      <c r="B335" s="4" t="s">
        <v>0</v>
      </c>
      <c r="C335" s="4">
        <v>271.03455300000002</v>
      </c>
      <c r="D335" s="6">
        <f t="shared" si="30"/>
        <v>1.1394701936496863E-2</v>
      </c>
      <c r="E335" s="4">
        <f t="shared" si="31"/>
        <v>8.076383193353005E-3</v>
      </c>
      <c r="F335" s="6">
        <f t="shared" si="32"/>
        <v>3.3183187431438579E-3</v>
      </c>
      <c r="G335" s="4">
        <f t="shared" si="35"/>
        <v>1.2770820792400295E-2</v>
      </c>
      <c r="H335" s="4">
        <f t="shared" si="33"/>
        <v>0.25983598055956864</v>
      </c>
      <c r="I335" s="4">
        <f t="shared" si="34"/>
        <v>-0.95269590160134898</v>
      </c>
    </row>
    <row r="336" spans="1:9" x14ac:dyDescent="0.25">
      <c r="A336" s="3">
        <v>40665</v>
      </c>
      <c r="B336" s="4" t="s">
        <v>0</v>
      </c>
      <c r="C336" s="4">
        <v>268.2749048</v>
      </c>
      <c r="D336" s="6">
        <f t="shared" si="30"/>
        <v>-1.0181905478302668E-2</v>
      </c>
      <c r="E336" s="4">
        <f t="shared" si="31"/>
        <v>2.988881043599539E-3</v>
      </c>
      <c r="F336" s="6">
        <f t="shared" si="32"/>
        <v>-1.3170786521902208E-2</v>
      </c>
      <c r="G336" s="4">
        <f t="shared" si="35"/>
        <v>1.1328785141877963E-2</v>
      </c>
      <c r="H336" s="4">
        <f t="shared" si="33"/>
        <v>-1.162594784608908</v>
      </c>
      <c r="I336" s="4">
        <f t="shared" si="34"/>
        <v>-1.5947518498045894</v>
      </c>
    </row>
    <row r="337" spans="1:9" x14ac:dyDescent="0.25">
      <c r="A337" s="3">
        <v>40666</v>
      </c>
      <c r="B337" s="4" t="s">
        <v>0</v>
      </c>
      <c r="C337" s="4">
        <v>265.94860679999999</v>
      </c>
      <c r="D337" s="6">
        <f t="shared" si="30"/>
        <v>-8.671321686738731E-3</v>
      </c>
      <c r="E337" s="4">
        <f t="shared" si="31"/>
        <v>4.4753207357111574E-3</v>
      </c>
      <c r="F337" s="6">
        <f t="shared" si="32"/>
        <v>-1.3146642422449888E-2</v>
      </c>
      <c r="G337" s="4">
        <f t="shared" si="35"/>
        <v>4.0507288370568564E-2</v>
      </c>
      <c r="H337" s="4">
        <f t="shared" si="33"/>
        <v>-0.32455004892408107</v>
      </c>
      <c r="I337" s="4">
        <f t="shared" si="34"/>
        <v>-0.9716049003329843</v>
      </c>
    </row>
    <row r="338" spans="1:9" x14ac:dyDescent="0.25">
      <c r="A338" s="3">
        <v>40667</v>
      </c>
      <c r="B338" s="4" t="s">
        <v>0</v>
      </c>
      <c r="C338" s="4">
        <v>266.8950802</v>
      </c>
      <c r="D338" s="6">
        <f t="shared" si="30"/>
        <v>3.5588582748687751E-3</v>
      </c>
      <c r="E338" s="4">
        <f t="shared" si="31"/>
        <v>-4.0285160912972504E-4</v>
      </c>
      <c r="F338" s="6">
        <f t="shared" si="32"/>
        <v>3.9617098839985002E-3</v>
      </c>
      <c r="G338" s="4">
        <f t="shared" si="35"/>
        <v>1.9707292775842149E-2</v>
      </c>
      <c r="H338" s="4">
        <f t="shared" si="33"/>
        <v>0.20102760582391585</v>
      </c>
      <c r="I338" s="4">
        <f t="shared" si="34"/>
        <v>-0.93914458235632048</v>
      </c>
    </row>
    <row r="339" spans="1:9" x14ac:dyDescent="0.25">
      <c r="A339" s="3">
        <v>40668</v>
      </c>
      <c r="B339" s="4" t="s">
        <v>0</v>
      </c>
      <c r="C339" s="4">
        <v>266.13790729999999</v>
      </c>
      <c r="D339" s="6">
        <f t="shared" si="30"/>
        <v>-2.8369683676169933E-3</v>
      </c>
      <c r="E339" s="4">
        <f t="shared" si="31"/>
        <v>-6.4330259653244716E-3</v>
      </c>
      <c r="F339" s="6">
        <f t="shared" si="32"/>
        <v>3.5960575977074783E-3</v>
      </c>
      <c r="G339" s="4">
        <f t="shared" si="35"/>
        <v>1.1364005841569614E-2</v>
      </c>
      <c r="H339" s="4">
        <f t="shared" si="33"/>
        <v>0.31644277975932344</v>
      </c>
      <c r="I339" s="4">
        <f t="shared" si="34"/>
        <v>-0.96900654963557653</v>
      </c>
    </row>
    <row r="340" spans="1:9" x14ac:dyDescent="0.25">
      <c r="A340" s="3">
        <v>40669</v>
      </c>
      <c r="B340" s="4" t="s">
        <v>0</v>
      </c>
      <c r="C340" s="4">
        <v>266.65100059999997</v>
      </c>
      <c r="D340" s="6">
        <f t="shared" si="30"/>
        <v>1.9279226518513321E-3</v>
      </c>
      <c r="E340" s="4">
        <f t="shared" si="31"/>
        <v>-1.2951906328544183E-3</v>
      </c>
      <c r="F340" s="6">
        <f t="shared" si="32"/>
        <v>3.2231132847057504E-3</v>
      </c>
      <c r="G340" s="4">
        <f t="shared" si="35"/>
        <v>1.272577799459869E-2</v>
      </c>
      <c r="H340" s="4">
        <f t="shared" si="33"/>
        <v>0.25327436059891689</v>
      </c>
      <c r="I340" s="4">
        <f t="shared" si="34"/>
        <v>-0.95101248407306771</v>
      </c>
    </row>
    <row r="341" spans="1:9" x14ac:dyDescent="0.25">
      <c r="A341" s="3">
        <v>40672</v>
      </c>
      <c r="B341" s="4" t="s">
        <v>0</v>
      </c>
      <c r="C341" s="4">
        <v>267.83654940000002</v>
      </c>
      <c r="D341" s="6">
        <f t="shared" si="30"/>
        <v>4.4460691965618271E-3</v>
      </c>
      <c r="E341" s="4">
        <f t="shared" si="31"/>
        <v>5.4327311925889913E-6</v>
      </c>
      <c r="F341" s="6">
        <f t="shared" si="32"/>
        <v>4.4406364653692383E-3</v>
      </c>
      <c r="G341" s="4">
        <f t="shared" si="35"/>
        <v>1.1144285208898111E-2</v>
      </c>
      <c r="H341" s="4">
        <f t="shared" si="33"/>
        <v>0.39846758963272311</v>
      </c>
      <c r="I341" s="4">
        <f t="shared" si="34"/>
        <v>-0.99832674319852888</v>
      </c>
    </row>
    <row r="342" spans="1:9" x14ac:dyDescent="0.25">
      <c r="A342" s="3">
        <v>40673</v>
      </c>
      <c r="B342" s="4" t="s">
        <v>0</v>
      </c>
      <c r="C342" s="4">
        <v>270.3172361</v>
      </c>
      <c r="D342" s="6">
        <f t="shared" si="30"/>
        <v>9.261942425547013E-3</v>
      </c>
      <c r="E342" s="4">
        <f t="shared" si="31"/>
        <v>-1.3173415409612778E-4</v>
      </c>
      <c r="F342" s="6">
        <f t="shared" si="32"/>
        <v>9.3936765796431409E-3</v>
      </c>
      <c r="G342" s="4">
        <f t="shared" si="35"/>
        <v>1.5183080941633988E-2</v>
      </c>
      <c r="H342" s="4">
        <f t="shared" si="33"/>
        <v>0.61869370358715903</v>
      </c>
      <c r="I342" s="4">
        <f t="shared" si="34"/>
        <v>-1.1103294826338703</v>
      </c>
    </row>
    <row r="343" spans="1:9" x14ac:dyDescent="0.25">
      <c r="A343" s="3">
        <v>40674</v>
      </c>
      <c r="B343" s="4" t="s">
        <v>0</v>
      </c>
      <c r="C343" s="4">
        <v>266.72570760000002</v>
      </c>
      <c r="D343" s="6">
        <f t="shared" si="30"/>
        <v>-1.3286346634113063E-2</v>
      </c>
      <c r="E343" s="4">
        <f t="shared" si="31"/>
        <v>2.2902556692239182E-3</v>
      </c>
      <c r="F343" s="6">
        <f t="shared" si="32"/>
        <v>-1.5576602303336982E-2</v>
      </c>
      <c r="G343" s="4">
        <f t="shared" si="35"/>
        <v>2.2599790357495021E-2</v>
      </c>
      <c r="H343" s="4">
        <f t="shared" si="33"/>
        <v>-0.6892365839212814</v>
      </c>
      <c r="I343" s="4">
        <f t="shared" si="34"/>
        <v>-1.1564620675124113</v>
      </c>
    </row>
    <row r="344" spans="1:9" x14ac:dyDescent="0.25">
      <c r="A344" s="3">
        <v>40675</v>
      </c>
      <c r="B344" s="4" t="s">
        <v>0</v>
      </c>
      <c r="C344" s="4">
        <v>266.52645790000003</v>
      </c>
      <c r="D344" s="6">
        <f t="shared" si="30"/>
        <v>-7.4702098194000905E-4</v>
      </c>
      <c r="E344" s="4">
        <f t="shared" si="31"/>
        <v>4.9020008982445422E-3</v>
      </c>
      <c r="F344" s="6">
        <f t="shared" si="32"/>
        <v>-5.6490218801845508E-3</v>
      </c>
      <c r="G344" s="4">
        <f t="shared" si="35"/>
        <v>2.5702623544980947E-2</v>
      </c>
      <c r="H344" s="4">
        <f t="shared" si="33"/>
        <v>-0.21978386254222121</v>
      </c>
      <c r="I344" s="4">
        <f t="shared" si="34"/>
        <v>-0.94309100632166165</v>
      </c>
    </row>
    <row r="345" spans="1:9" x14ac:dyDescent="0.25">
      <c r="A345" s="3">
        <v>40676</v>
      </c>
      <c r="B345" s="4" t="s">
        <v>0</v>
      </c>
      <c r="C345" s="4">
        <v>263.78670720000002</v>
      </c>
      <c r="D345" s="6">
        <f t="shared" si="30"/>
        <v>-1.0279469894234472E-2</v>
      </c>
      <c r="E345" s="4">
        <f t="shared" si="31"/>
        <v>-2.2426187750978692E-3</v>
      </c>
      <c r="F345" s="6">
        <f t="shared" si="32"/>
        <v>-8.0368511191366027E-3</v>
      </c>
      <c r="G345" s="4">
        <f t="shared" si="35"/>
        <v>1.3346958715692582E-2</v>
      </c>
      <c r="H345" s="4">
        <f t="shared" si="33"/>
        <v>-0.60214849617293997</v>
      </c>
      <c r="I345" s="4">
        <f t="shared" si="34"/>
        <v>-1.1002299389263392</v>
      </c>
    </row>
    <row r="346" spans="1:9" x14ac:dyDescent="0.25">
      <c r="A346" s="3">
        <v>40679</v>
      </c>
      <c r="B346" s="4" t="s">
        <v>0</v>
      </c>
      <c r="C346" s="4">
        <v>258.24247780000002</v>
      </c>
      <c r="D346" s="6">
        <f t="shared" si="30"/>
        <v>-2.1017849833488523E-2</v>
      </c>
      <c r="E346" s="4">
        <f t="shared" si="31"/>
        <v>-4.3547492347791256E-3</v>
      </c>
      <c r="F346" s="6">
        <f t="shared" si="32"/>
        <v>-1.6663100598709398E-2</v>
      </c>
      <c r="G346" s="4">
        <f t="shared" si="35"/>
        <v>2.189167788828135E-2</v>
      </c>
      <c r="H346" s="4">
        <f t="shared" si="33"/>
        <v>-0.76116141867906717</v>
      </c>
      <c r="I346" s="4">
        <f t="shared" si="34"/>
        <v>-1.2086218858474378</v>
      </c>
    </row>
    <row r="347" spans="1:9" x14ac:dyDescent="0.25">
      <c r="A347" s="3">
        <v>40680</v>
      </c>
      <c r="B347" s="4" t="s">
        <v>0</v>
      </c>
      <c r="C347" s="4">
        <v>264.24001600000003</v>
      </c>
      <c r="D347" s="6">
        <f t="shared" si="30"/>
        <v>2.3224444913531601E-2</v>
      </c>
      <c r="E347" s="4">
        <f t="shared" si="31"/>
        <v>-4.1588248927197221E-3</v>
      </c>
      <c r="F347" s="6">
        <f t="shared" si="32"/>
        <v>2.7383269806251324E-2</v>
      </c>
      <c r="G347" s="4">
        <f t="shared" si="35"/>
        <v>2.7916281490353936E-2</v>
      </c>
      <c r="H347" s="4">
        <f t="shared" si="33"/>
        <v>0.98090678071551951</v>
      </c>
      <c r="I347" s="4">
        <f t="shared" si="34"/>
        <v>-1.4000275894315148</v>
      </c>
    </row>
    <row r="348" spans="1:9" x14ac:dyDescent="0.25">
      <c r="A348" s="3">
        <v>40681</v>
      </c>
      <c r="B348" s="4" t="s">
        <v>0</v>
      </c>
      <c r="C348" s="4">
        <v>263.91622419999999</v>
      </c>
      <c r="D348" s="6">
        <f t="shared" si="30"/>
        <v>-1.2253700438772214E-3</v>
      </c>
      <c r="E348" s="4">
        <f t="shared" si="31"/>
        <v>-1.118233308432068E-2</v>
      </c>
      <c r="F348" s="6">
        <f t="shared" si="32"/>
        <v>9.9569630404434586E-3</v>
      </c>
      <c r="G348" s="4">
        <f t="shared" si="35"/>
        <v>3.5713485320124506E-2</v>
      </c>
      <c r="H348" s="4">
        <f t="shared" si="33"/>
        <v>0.27880121335658947</v>
      </c>
      <c r="I348" s="4">
        <f t="shared" si="34"/>
        <v>-0.95780359148922589</v>
      </c>
    </row>
    <row r="349" spans="1:9" x14ac:dyDescent="0.25">
      <c r="A349" s="3">
        <v>40682</v>
      </c>
      <c r="B349" s="4" t="s">
        <v>0</v>
      </c>
      <c r="C349" s="4">
        <v>264.63354099999998</v>
      </c>
      <c r="D349" s="6">
        <f t="shared" si="30"/>
        <v>2.717971591835133E-3</v>
      </c>
      <c r="E349" s="4">
        <f t="shared" si="31"/>
        <v>2.4414351086834941E-3</v>
      </c>
      <c r="F349" s="6">
        <f t="shared" si="32"/>
        <v>2.7653648315163889E-4</v>
      </c>
      <c r="G349" s="4">
        <f t="shared" si="35"/>
        <v>1.739284374254764E-2</v>
      </c>
      <c r="H349" s="4">
        <f t="shared" si="33"/>
        <v>1.5899440439124699E-2</v>
      </c>
      <c r="I349" s="4">
        <f t="shared" si="34"/>
        <v>-0.91906492930781136</v>
      </c>
    </row>
    <row r="350" spans="1:9" x14ac:dyDescent="0.25">
      <c r="A350" s="3">
        <v>40683</v>
      </c>
      <c r="B350" s="4" t="s">
        <v>0</v>
      </c>
      <c r="C350" s="4">
        <v>261.0370077</v>
      </c>
      <c r="D350" s="6">
        <f t="shared" si="30"/>
        <v>-1.3590617751662766E-2</v>
      </c>
      <c r="E350" s="4">
        <f t="shared" si="31"/>
        <v>6.6441584887258339E-3</v>
      </c>
      <c r="F350" s="6">
        <f t="shared" si="32"/>
        <v>-2.0234776240388601E-2</v>
      </c>
      <c r="G350" s="4">
        <f t="shared" si="35"/>
        <v>8.3167059799291419E-3</v>
      </c>
      <c r="H350" s="4">
        <f t="shared" si="33"/>
        <v>-2.4330277262682549</v>
      </c>
      <c r="I350" s="4">
        <f t="shared" si="34"/>
        <v>-3.87875049159971</v>
      </c>
    </row>
    <row r="351" spans="1:9" x14ac:dyDescent="0.25">
      <c r="A351" s="3">
        <v>40686</v>
      </c>
      <c r="B351" s="4" t="s">
        <v>0</v>
      </c>
      <c r="C351" s="4">
        <v>258.22755469999998</v>
      </c>
      <c r="D351" s="6">
        <f t="shared" si="30"/>
        <v>-1.0762661680633489E-2</v>
      </c>
      <c r="E351" s="4">
        <f t="shared" si="31"/>
        <v>6.6347995168082141E-4</v>
      </c>
      <c r="F351" s="6">
        <f t="shared" si="32"/>
        <v>-1.1426141632314309E-2</v>
      </c>
      <c r="G351" s="4">
        <f t="shared" si="35"/>
        <v>8.3849126917386052E-2</v>
      </c>
      <c r="H351" s="4">
        <f t="shared" si="33"/>
        <v>-0.13627025172930105</v>
      </c>
      <c r="I351" s="4">
        <f t="shared" si="34"/>
        <v>-0.92822332395785623</v>
      </c>
    </row>
    <row r="352" spans="1:9" x14ac:dyDescent="0.25">
      <c r="A352" s="3">
        <v>40687</v>
      </c>
      <c r="B352" s="4" t="s">
        <v>0</v>
      </c>
      <c r="C352" s="4">
        <v>258.16279600000001</v>
      </c>
      <c r="D352" s="6">
        <f t="shared" si="30"/>
        <v>-2.5078152513663681E-4</v>
      </c>
      <c r="E352" s="4">
        <f t="shared" si="31"/>
        <v>-4.3632411578401788E-3</v>
      </c>
      <c r="F352" s="6">
        <f t="shared" si="32"/>
        <v>4.1124596327035421E-3</v>
      </c>
      <c r="G352" s="4">
        <f t="shared" si="35"/>
        <v>3.2730223933840792E-2</v>
      </c>
      <c r="H352" s="4">
        <f t="shared" si="33"/>
        <v>0.12564715844951926</v>
      </c>
      <c r="I352" s="4">
        <f t="shared" si="34"/>
        <v>-0.92683213741789205</v>
      </c>
    </row>
    <row r="353" spans="1:9" x14ac:dyDescent="0.25">
      <c r="A353" s="3">
        <v>40688</v>
      </c>
      <c r="B353" s="4" t="s">
        <v>0</v>
      </c>
      <c r="C353" s="4">
        <v>258.86515930000002</v>
      </c>
      <c r="D353" s="6">
        <f t="shared" si="30"/>
        <v>2.720621680902471E-3</v>
      </c>
      <c r="E353" s="4">
        <f t="shared" si="31"/>
        <v>-8.2765036486575246E-3</v>
      </c>
      <c r="F353" s="6">
        <f t="shared" si="32"/>
        <v>1.0997125329559996E-2</v>
      </c>
      <c r="G353" s="4">
        <f t="shared" si="35"/>
        <v>1.4126295558878777E-2</v>
      </c>
      <c r="H353" s="4">
        <f t="shared" si="33"/>
        <v>0.77848614194172017</v>
      </c>
      <c r="I353" s="4">
        <f t="shared" si="34"/>
        <v>-1.2219588698023247</v>
      </c>
    </row>
    <row r="354" spans="1:9" x14ac:dyDescent="0.25">
      <c r="A354" s="3">
        <v>40689</v>
      </c>
      <c r="B354" s="4" t="s">
        <v>0</v>
      </c>
      <c r="C354" s="4">
        <v>258.09803770000002</v>
      </c>
      <c r="D354" s="6">
        <f t="shared" si="30"/>
        <v>-2.9634022673208607E-3</v>
      </c>
      <c r="E354" s="4">
        <f t="shared" si="31"/>
        <v>-3.3919031003280696E-3</v>
      </c>
      <c r="F354" s="6">
        <f t="shared" si="32"/>
        <v>4.2850083300720885E-4</v>
      </c>
      <c r="G354" s="4">
        <f t="shared" si="35"/>
        <v>2.7750389439696894E-2</v>
      </c>
      <c r="H354" s="4">
        <f t="shared" si="33"/>
        <v>1.5441254759266153E-2</v>
      </c>
      <c r="I354" s="4">
        <f t="shared" si="34"/>
        <v>-0.91905774937894291</v>
      </c>
    </row>
    <row r="355" spans="1:9" x14ac:dyDescent="0.25">
      <c r="A355" s="3">
        <v>40690</v>
      </c>
      <c r="B355" s="4" t="s">
        <v>0</v>
      </c>
      <c r="C355" s="4">
        <v>259.47786180000003</v>
      </c>
      <c r="D355" s="6">
        <f t="shared" si="30"/>
        <v>5.3461239469160347E-3</v>
      </c>
      <c r="E355" s="4">
        <f t="shared" si="31"/>
        <v>9.6317546122406451E-4</v>
      </c>
      <c r="F355" s="6">
        <f t="shared" si="32"/>
        <v>4.3829484856919704E-3</v>
      </c>
      <c r="G355" s="4">
        <f t="shared" si="35"/>
        <v>1.1716958442725703E-2</v>
      </c>
      <c r="H355" s="4">
        <f t="shared" si="33"/>
        <v>0.37406879158243134</v>
      </c>
      <c r="I355" s="4">
        <f t="shared" si="34"/>
        <v>-0.988902263622643</v>
      </c>
    </row>
    <row r="356" spans="1:9" x14ac:dyDescent="0.25">
      <c r="A356" s="3">
        <v>40694</v>
      </c>
      <c r="B356" s="4" t="s">
        <v>0</v>
      </c>
      <c r="C356" s="4">
        <v>263.52269919999998</v>
      </c>
      <c r="D356" s="6">
        <f t="shared" si="30"/>
        <v>1.5588371863175066E-2</v>
      </c>
      <c r="E356" s="4">
        <f t="shared" si="31"/>
        <v>-2.9954376769622071E-4</v>
      </c>
      <c r="F356" s="6">
        <f t="shared" si="32"/>
        <v>1.5887915630871288E-2</v>
      </c>
      <c r="G356" s="4">
        <f t="shared" si="35"/>
        <v>1.4496829552313633E-2</v>
      </c>
      <c r="H356" s="4">
        <f t="shared" si="33"/>
        <v>1.0959579522914129</v>
      </c>
      <c r="I356" s="4">
        <f t="shared" si="34"/>
        <v>-1.5195004498000662</v>
      </c>
    </row>
    <row r="357" spans="1:9" x14ac:dyDescent="0.25">
      <c r="A357" s="3">
        <v>40695</v>
      </c>
      <c r="B357" s="4" t="s">
        <v>0</v>
      </c>
      <c r="C357" s="4">
        <v>261.81908279999999</v>
      </c>
      <c r="D357" s="6">
        <f t="shared" si="30"/>
        <v>-6.4647804730742801E-3</v>
      </c>
      <c r="E357" s="4">
        <f t="shared" si="31"/>
        <v>1.136475347407498E-3</v>
      </c>
      <c r="F357" s="6">
        <f t="shared" si="32"/>
        <v>-7.6012558204817783E-3</v>
      </c>
      <c r="G357" s="4">
        <f t="shared" si="35"/>
        <v>3.8404411864479508E-2</v>
      </c>
      <c r="H357" s="4">
        <f t="shared" si="33"/>
        <v>-0.1979266300784632</v>
      </c>
      <c r="I357" s="4">
        <f t="shared" si="34"/>
        <v>-0.93852600865178104</v>
      </c>
    </row>
    <row r="358" spans="1:9" x14ac:dyDescent="0.25">
      <c r="A358" s="3">
        <v>40696</v>
      </c>
      <c r="B358" s="4" t="s">
        <v>0</v>
      </c>
      <c r="C358" s="4">
        <v>263.04448769999999</v>
      </c>
      <c r="D358" s="6">
        <f t="shared" si="30"/>
        <v>4.6803498312461469E-3</v>
      </c>
      <c r="E358" s="4">
        <f t="shared" si="31"/>
        <v>7.5962435820376185E-3</v>
      </c>
      <c r="F358" s="6">
        <f t="shared" si="32"/>
        <v>-2.9158937507914717E-3</v>
      </c>
      <c r="G358" s="4">
        <f t="shared" si="35"/>
        <v>1.6911845179305073E-2</v>
      </c>
      <c r="H358" s="4">
        <f t="shared" si="33"/>
        <v>-0.17241724482906418</v>
      </c>
      <c r="I358" s="4">
        <f t="shared" si="34"/>
        <v>-0.93380238636189528</v>
      </c>
    </row>
    <row r="359" spans="1:9" x14ac:dyDescent="0.25">
      <c r="A359" s="3">
        <v>40697</v>
      </c>
      <c r="B359" s="4" t="s">
        <v>0</v>
      </c>
      <c r="C359" s="4">
        <v>260.56380139999999</v>
      </c>
      <c r="D359" s="6">
        <f t="shared" si="30"/>
        <v>-9.4306720573791459E-3</v>
      </c>
      <c r="E359" s="4">
        <f t="shared" si="31"/>
        <v>2.3027157554170951E-3</v>
      </c>
      <c r="F359" s="6">
        <f t="shared" si="32"/>
        <v>-1.1733387812796241E-2</v>
      </c>
      <c r="G359" s="4">
        <f t="shared" si="35"/>
        <v>1.0079510587603896E-2</v>
      </c>
      <c r="H359" s="4">
        <f t="shared" si="33"/>
        <v>-1.164083088243028</v>
      </c>
      <c r="I359" s="4">
        <f t="shared" si="34"/>
        <v>-1.5964832513713851</v>
      </c>
    </row>
    <row r="360" spans="1:9" x14ac:dyDescent="0.25">
      <c r="A360" s="3">
        <v>40700</v>
      </c>
      <c r="B360" s="4" t="s">
        <v>0</v>
      </c>
      <c r="C360" s="4">
        <v>259.55757399999999</v>
      </c>
      <c r="D360" s="6">
        <f t="shared" si="30"/>
        <v>-3.8617313479216084E-3</v>
      </c>
      <c r="E360" s="4">
        <f t="shared" si="31"/>
        <v>-1.90841465739473E-4</v>
      </c>
      <c r="F360" s="6">
        <f t="shared" si="32"/>
        <v>-3.6708898821821356E-3</v>
      </c>
      <c r="G360" s="4">
        <f t="shared" si="35"/>
        <v>4.0509695065590164E-2</v>
      </c>
      <c r="H360" s="4">
        <f t="shared" si="33"/>
        <v>-9.0617563924846004E-2</v>
      </c>
      <c r="I360" s="4">
        <f t="shared" si="34"/>
        <v>-0.92304430465050935</v>
      </c>
    </row>
    <row r="361" spans="1:9" x14ac:dyDescent="0.25">
      <c r="A361" s="3">
        <v>40701</v>
      </c>
      <c r="B361" s="4" t="s">
        <v>0</v>
      </c>
      <c r="C361" s="4">
        <v>258.54634179999999</v>
      </c>
      <c r="D361" s="6">
        <f t="shared" si="30"/>
        <v>-3.8959841718970412E-3</v>
      </c>
      <c r="E361" s="4">
        <f t="shared" si="31"/>
        <v>-2.1718596777560925E-3</v>
      </c>
      <c r="F361" s="6">
        <f t="shared" si="32"/>
        <v>-1.7241244941409487E-3</v>
      </c>
      <c r="G361" s="4">
        <f t="shared" si="35"/>
        <v>1.6541704530479581E-2</v>
      </c>
      <c r="H361" s="4">
        <f t="shared" si="33"/>
        <v>-0.1042289499830017</v>
      </c>
      <c r="I361" s="4">
        <f t="shared" si="34"/>
        <v>-0.92437037021195223</v>
      </c>
    </row>
    <row r="362" spans="1:9" x14ac:dyDescent="0.25">
      <c r="A362" s="3">
        <v>40702</v>
      </c>
      <c r="B362" s="4" t="s">
        <v>0</v>
      </c>
      <c r="C362" s="4">
        <v>258.61607450000002</v>
      </c>
      <c r="D362" s="6">
        <f t="shared" si="30"/>
        <v>2.6971064264360596E-4</v>
      </c>
      <c r="E362" s="4">
        <f t="shared" si="31"/>
        <v>-4.364501736384788E-3</v>
      </c>
      <c r="F362" s="6">
        <f t="shared" si="32"/>
        <v>4.6342123790283941E-3</v>
      </c>
      <c r="G362" s="4">
        <f t="shared" si="35"/>
        <v>8.8033286770281514E-3</v>
      </c>
      <c r="H362" s="4">
        <f t="shared" si="33"/>
        <v>0.5264159216412243</v>
      </c>
      <c r="I362" s="4">
        <f t="shared" si="34"/>
        <v>-1.0574953944833625</v>
      </c>
    </row>
    <row r="363" spans="1:9" x14ac:dyDescent="0.25">
      <c r="A363" s="3">
        <v>40703</v>
      </c>
      <c r="B363" s="4" t="s">
        <v>0</v>
      </c>
      <c r="C363" s="4">
        <v>257.40064869999998</v>
      </c>
      <c r="D363" s="6">
        <f t="shared" si="30"/>
        <v>-4.6997302946072215E-3</v>
      </c>
      <c r="E363" s="4">
        <f t="shared" si="31"/>
        <v>-2.6720121531921678E-3</v>
      </c>
      <c r="F363" s="6">
        <f t="shared" si="32"/>
        <v>-2.0277181414150537E-3</v>
      </c>
      <c r="G363" s="4">
        <f t="shared" si="35"/>
        <v>1.9067568576828019E-2</v>
      </c>
      <c r="H363" s="4">
        <f t="shared" si="33"/>
        <v>-0.1063438231909259</v>
      </c>
      <c r="I363" s="4">
        <f t="shared" si="34"/>
        <v>-0.92459303757010414</v>
      </c>
    </row>
    <row r="364" spans="1:9" x14ac:dyDescent="0.25">
      <c r="A364" s="3">
        <v>40704</v>
      </c>
      <c r="B364" s="4" t="s">
        <v>0</v>
      </c>
      <c r="C364" s="4">
        <v>253.8041154</v>
      </c>
      <c r="D364" s="6">
        <f t="shared" si="30"/>
        <v>-1.3972510629496235E-2</v>
      </c>
      <c r="E364" s="4">
        <f t="shared" si="31"/>
        <v>-1.0901429929562458E-3</v>
      </c>
      <c r="F364" s="6">
        <f t="shared" si="32"/>
        <v>-1.288236763653999E-2</v>
      </c>
      <c r="G364" s="4">
        <f t="shared" si="35"/>
        <v>9.5463025498567083E-3</v>
      </c>
      <c r="H364" s="4">
        <f t="shared" si="33"/>
        <v>-1.34946148723658</v>
      </c>
      <c r="I364" s="4">
        <f t="shared" si="34"/>
        <v>-1.8294616859720538</v>
      </c>
    </row>
    <row r="365" spans="1:9" x14ac:dyDescent="0.25">
      <c r="A365" s="3">
        <v>40707</v>
      </c>
      <c r="B365" s="4" t="s">
        <v>0</v>
      </c>
      <c r="C365" s="4">
        <v>251.42303870000001</v>
      </c>
      <c r="D365" s="6">
        <f t="shared" si="30"/>
        <v>-9.3815527626389082E-3</v>
      </c>
      <c r="E365" s="4">
        <f t="shared" si="31"/>
        <v>-1.7142891893722927E-3</v>
      </c>
      <c r="F365" s="6">
        <f t="shared" si="32"/>
        <v>-7.6672635732666153E-3</v>
      </c>
      <c r="G365" s="4">
        <f t="shared" si="35"/>
        <v>4.6799340012082268E-2</v>
      </c>
      <c r="H365" s="4">
        <f t="shared" si="33"/>
        <v>-0.16383272865145415</v>
      </c>
      <c r="I365" s="4">
        <f t="shared" si="34"/>
        <v>-0.93235911469336319</v>
      </c>
    </row>
    <row r="366" spans="1:9" x14ac:dyDescent="0.25">
      <c r="A366" s="3">
        <v>40708</v>
      </c>
      <c r="B366" s="4" t="s">
        <v>0</v>
      </c>
      <c r="C366" s="4">
        <v>253.23624340000001</v>
      </c>
      <c r="D366" s="6">
        <f t="shared" si="30"/>
        <v>7.2117682984634132E-3</v>
      </c>
      <c r="E366" s="4">
        <f t="shared" si="31"/>
        <v>-6.7808908574558419E-3</v>
      </c>
      <c r="F366" s="6">
        <f t="shared" si="32"/>
        <v>1.3992659155919254E-2</v>
      </c>
      <c r="G366" s="4">
        <f t="shared" si="35"/>
        <v>1.9382146498340518E-2</v>
      </c>
      <c r="H366" s="4">
        <f t="shared" si="33"/>
        <v>0.72193547588329776</v>
      </c>
      <c r="I366" s="4">
        <f t="shared" si="34"/>
        <v>-1.1795339488740944</v>
      </c>
    </row>
    <row r="367" spans="1:9" x14ac:dyDescent="0.25">
      <c r="A367" s="3">
        <v>40709</v>
      </c>
      <c r="B367" s="4" t="s">
        <v>0</v>
      </c>
      <c r="C367" s="4">
        <v>250.53636420000001</v>
      </c>
      <c r="D367" s="6">
        <f t="shared" si="30"/>
        <v>-1.0661503913305949E-2</v>
      </c>
      <c r="E367" s="4">
        <f t="shared" si="31"/>
        <v>-7.8653406991870418E-3</v>
      </c>
      <c r="F367" s="6">
        <f t="shared" si="32"/>
        <v>-2.7961632141189074E-3</v>
      </c>
      <c r="G367" s="4">
        <f t="shared" si="35"/>
        <v>2.6371817653240471E-2</v>
      </c>
      <c r="H367" s="4">
        <f t="shared" si="33"/>
        <v>-0.10602846003583395</v>
      </c>
      <c r="I367" s="4">
        <f t="shared" si="34"/>
        <v>-0.92455955037345794</v>
      </c>
    </row>
    <row r="368" spans="1:9" x14ac:dyDescent="0.25">
      <c r="A368" s="3">
        <v>40710</v>
      </c>
      <c r="B368" s="4" t="s">
        <v>0</v>
      </c>
      <c r="C368" s="4">
        <v>249.2511749</v>
      </c>
      <c r="D368" s="6">
        <f t="shared" si="30"/>
        <v>-5.1297515396769421E-3</v>
      </c>
      <c r="E368" s="4">
        <f t="shared" si="31"/>
        <v>-1.1642537839163733E-4</v>
      </c>
      <c r="F368" s="6">
        <f t="shared" si="32"/>
        <v>-5.0133261612853048E-3</v>
      </c>
      <c r="G368" s="4">
        <f t="shared" si="35"/>
        <v>1.1807562336687224E-2</v>
      </c>
      <c r="H368" s="4">
        <f t="shared" si="33"/>
        <v>-0.4245860422611043</v>
      </c>
      <c r="I368" s="4">
        <f t="shared" si="34"/>
        <v>-1.0090751868461467</v>
      </c>
    </row>
    <row r="369" spans="1:9" x14ac:dyDescent="0.25">
      <c r="A369" s="3">
        <v>40711</v>
      </c>
      <c r="B369" s="4" t="s">
        <v>0</v>
      </c>
      <c r="C369" s="4">
        <v>241.60481480000001</v>
      </c>
      <c r="D369" s="6">
        <f t="shared" si="30"/>
        <v>-3.067732821346866E-2</v>
      </c>
      <c r="E369" s="4">
        <f t="shared" si="31"/>
        <v>-1.8671539713522724E-3</v>
      </c>
      <c r="F369" s="6">
        <f t="shared" si="32"/>
        <v>-2.8810174242116387E-2</v>
      </c>
      <c r="G369" s="4">
        <f t="shared" si="35"/>
        <v>1.6067027773507346E-2</v>
      </c>
      <c r="H369" s="4">
        <f t="shared" si="33"/>
        <v>-1.7931240705030087</v>
      </c>
      <c r="I369" s="4">
        <f t="shared" si="34"/>
        <v>-2.5265854993133119</v>
      </c>
    </row>
    <row r="370" spans="1:9" x14ac:dyDescent="0.25">
      <c r="A370" s="3">
        <v>40714</v>
      </c>
      <c r="B370" s="4" t="s">
        <v>0</v>
      </c>
      <c r="C370" s="4">
        <v>241.38563740000001</v>
      </c>
      <c r="D370" s="6">
        <f t="shared" si="30"/>
        <v>-9.071731462861833E-4</v>
      </c>
      <c r="E370" s="4">
        <f t="shared" si="31"/>
        <v>-5.2267201119567432E-3</v>
      </c>
      <c r="F370" s="6">
        <f t="shared" si="32"/>
        <v>4.3195469656705596E-3</v>
      </c>
      <c r="G370" s="4">
        <f t="shared" si="35"/>
        <v>6.2146909241313615E-2</v>
      </c>
      <c r="H370" s="4">
        <f t="shared" si="33"/>
        <v>6.9505418988705547E-2</v>
      </c>
      <c r="I370" s="4">
        <f t="shared" si="34"/>
        <v>-0.9213540348390703</v>
      </c>
    </row>
    <row r="371" spans="1:9" x14ac:dyDescent="0.25">
      <c r="A371" s="3">
        <v>40715</v>
      </c>
      <c r="B371" s="4" t="s">
        <v>0</v>
      </c>
      <c r="C371" s="4">
        <v>245.5799346</v>
      </c>
      <c r="D371" s="6">
        <f t="shared" si="30"/>
        <v>1.7375918655216534E-2</v>
      </c>
      <c r="E371" s="4">
        <f t="shared" si="31"/>
        <v>-1.3298320915978134E-2</v>
      </c>
      <c r="F371" s="6">
        <f t="shared" si="32"/>
        <v>3.0674239571194667E-2</v>
      </c>
      <c r="G371" s="4">
        <f t="shared" si="35"/>
        <v>2.4358054136015869E-2</v>
      </c>
      <c r="H371" s="4">
        <f t="shared" si="33"/>
        <v>1.2593058295998971</v>
      </c>
      <c r="I371" s="4">
        <f t="shared" si="34"/>
        <v>-1.7118641194368154</v>
      </c>
    </row>
    <row r="372" spans="1:9" x14ac:dyDescent="0.25">
      <c r="A372" s="3">
        <v>40716</v>
      </c>
      <c r="B372" s="4" t="s">
        <v>0</v>
      </c>
      <c r="C372" s="4">
        <v>242.59610369999999</v>
      </c>
      <c r="D372" s="6">
        <f t="shared" si="30"/>
        <v>-1.2150141276240959E-2</v>
      </c>
      <c r="E372" s="4">
        <f t="shared" si="31"/>
        <v>-9.7414455468234611E-3</v>
      </c>
      <c r="F372" s="6">
        <f t="shared" si="32"/>
        <v>-2.4086957294174975E-3</v>
      </c>
      <c r="G372" s="4">
        <f t="shared" si="35"/>
        <v>4.4557879210191213E-2</v>
      </c>
      <c r="H372" s="4">
        <f t="shared" si="33"/>
        <v>-5.4057683447074477E-2</v>
      </c>
      <c r="I372" s="4">
        <f t="shared" si="34"/>
        <v>-0.92039964977450472</v>
      </c>
    </row>
    <row r="373" spans="1:9" x14ac:dyDescent="0.25">
      <c r="A373" s="3">
        <v>40717</v>
      </c>
      <c r="B373" s="4" t="s">
        <v>0</v>
      </c>
      <c r="C373" s="4">
        <v>239.213774</v>
      </c>
      <c r="D373" s="6">
        <f t="shared" si="30"/>
        <v>-1.3942225981430656E-2</v>
      </c>
      <c r="E373" s="4">
        <f t="shared" si="31"/>
        <v>6.3643857945725919E-3</v>
      </c>
      <c r="F373" s="6">
        <f t="shared" si="32"/>
        <v>-2.030661177600325E-2</v>
      </c>
      <c r="G373" s="4">
        <f t="shared" si="35"/>
        <v>1.7820208796838023E-2</v>
      </c>
      <c r="H373" s="4">
        <f t="shared" si="33"/>
        <v>-1.1395271518707686</v>
      </c>
      <c r="I373" s="4">
        <f t="shared" si="34"/>
        <v>-1.5681995981300256</v>
      </c>
    </row>
    <row r="374" spans="1:9" x14ac:dyDescent="0.25">
      <c r="A374" s="3">
        <v>40718</v>
      </c>
      <c r="B374" s="4" t="s">
        <v>0</v>
      </c>
      <c r="C374" s="4">
        <v>236.55375050000001</v>
      </c>
      <c r="D374" s="6">
        <f t="shared" si="30"/>
        <v>-1.1119859260278191E-2</v>
      </c>
      <c r="E374" s="4">
        <f t="shared" si="31"/>
        <v>6.7638818320735292E-4</v>
      </c>
      <c r="F374" s="6">
        <f t="shared" si="32"/>
        <v>-1.1796247443485543E-2</v>
      </c>
      <c r="G374" s="4">
        <f t="shared" si="35"/>
        <v>4.0070626801133137E-2</v>
      </c>
      <c r="H374" s="4">
        <f t="shared" si="33"/>
        <v>-0.29438639684947387</v>
      </c>
      <c r="I374" s="4">
        <f t="shared" si="34"/>
        <v>-0.96227020852968059</v>
      </c>
    </row>
    <row r="375" spans="1:9" x14ac:dyDescent="0.25">
      <c r="A375" s="3">
        <v>40721</v>
      </c>
      <c r="B375" s="4" t="s">
        <v>0</v>
      </c>
      <c r="C375" s="4">
        <v>240.49896279999999</v>
      </c>
      <c r="D375" s="6">
        <f t="shared" si="30"/>
        <v>1.6677868313907711E-2</v>
      </c>
      <c r="E375" s="4">
        <f t="shared" si="31"/>
        <v>-9.0510532766201173E-3</v>
      </c>
      <c r="F375" s="6">
        <f t="shared" si="32"/>
        <v>2.572892159052783E-2</v>
      </c>
      <c r="G375" s="4">
        <f t="shared" si="35"/>
        <v>1.9004909460987578E-2</v>
      </c>
      <c r="H375" s="4">
        <f t="shared" si="33"/>
        <v>1.3538039548856047</v>
      </c>
      <c r="I375" s="4">
        <f t="shared" si="34"/>
        <v>-1.835331107336625</v>
      </c>
    </row>
    <row r="376" spans="1:9" x14ac:dyDescent="0.25">
      <c r="A376" s="3">
        <v>40722</v>
      </c>
      <c r="B376" s="4" t="s">
        <v>0</v>
      </c>
      <c r="C376" s="4">
        <v>245.90371149999999</v>
      </c>
      <c r="D376" s="6">
        <f t="shared" si="30"/>
        <v>2.24730644867463E-2</v>
      </c>
      <c r="E376" s="4">
        <f t="shared" si="31"/>
        <v>-8.5203950825988722E-3</v>
      </c>
      <c r="F376" s="6">
        <f t="shared" si="32"/>
        <v>3.0993459569345173E-2</v>
      </c>
      <c r="G376" s="4">
        <f t="shared" si="35"/>
        <v>4.7364591841903871E-2</v>
      </c>
      <c r="H376" s="4">
        <f t="shared" si="33"/>
        <v>0.65435926636498509</v>
      </c>
      <c r="I376" s="4">
        <f t="shared" si="34"/>
        <v>-1.1330315579435335</v>
      </c>
    </row>
    <row r="377" spans="1:9" x14ac:dyDescent="0.25">
      <c r="A377" s="3">
        <v>40723</v>
      </c>
      <c r="B377" s="4" t="s">
        <v>0</v>
      </c>
      <c r="C377" s="4">
        <v>247.85639739999999</v>
      </c>
      <c r="D377" s="6">
        <f t="shared" si="30"/>
        <v>7.9408557442615345E-3</v>
      </c>
      <c r="E377" s="4">
        <f t="shared" si="31"/>
        <v>2.9705704113523637E-3</v>
      </c>
      <c r="F377" s="6">
        <f t="shared" si="32"/>
        <v>4.9702853329091704E-3</v>
      </c>
      <c r="G377" s="4">
        <f t="shared" si="35"/>
        <v>2.9287083933938238E-2</v>
      </c>
      <c r="H377" s="4">
        <f t="shared" si="33"/>
        <v>0.16970912311107703</v>
      </c>
      <c r="I377" s="4">
        <f t="shared" si="34"/>
        <v>-0.93333912643823802</v>
      </c>
    </row>
    <row r="378" spans="1:9" x14ac:dyDescent="0.25">
      <c r="A378" s="3">
        <v>40724</v>
      </c>
      <c r="B378" s="4" t="s">
        <v>0</v>
      </c>
      <c r="C378" s="4">
        <v>252.24495450000001</v>
      </c>
      <c r="D378" s="6">
        <f t="shared" si="30"/>
        <v>1.7706047316251416E-2</v>
      </c>
      <c r="E378" s="4">
        <f t="shared" si="31"/>
        <v>1.3698778383286071E-2</v>
      </c>
      <c r="F378" s="6">
        <f t="shared" si="32"/>
        <v>4.0072689329653452E-3</v>
      </c>
      <c r="G378" s="4">
        <f t="shared" si="35"/>
        <v>1.3557844126666749E-2</v>
      </c>
      <c r="H378" s="4">
        <f t="shared" si="33"/>
        <v>0.29556829946757535</v>
      </c>
      <c r="I378" s="4">
        <f t="shared" si="34"/>
        <v>-0.96261884302974987</v>
      </c>
    </row>
    <row r="379" spans="1:9" x14ac:dyDescent="0.25">
      <c r="A379" s="3">
        <v>40725</v>
      </c>
      <c r="B379" s="4" t="s">
        <v>0</v>
      </c>
      <c r="C379" s="4">
        <v>259.5426205</v>
      </c>
      <c r="D379" s="6">
        <f t="shared" si="30"/>
        <v>2.8930870052348231E-2</v>
      </c>
      <c r="E379" s="4">
        <f t="shared" si="31"/>
        <v>9.918403953602075E-3</v>
      </c>
      <c r="F379" s="6">
        <f t="shared" si="32"/>
        <v>1.9012466098746156E-2</v>
      </c>
      <c r="G379" s="4">
        <f t="shared" si="35"/>
        <v>1.2442460202569854E-2</v>
      </c>
      <c r="H379" s="4">
        <f t="shared" si="33"/>
        <v>1.5280310958775933</v>
      </c>
      <c r="I379" s="4">
        <f t="shared" si="34"/>
        <v>-2.0863780481891121</v>
      </c>
    </row>
    <row r="380" spans="1:9" x14ac:dyDescent="0.25">
      <c r="A380" s="3">
        <v>40729</v>
      </c>
      <c r="B380" s="4" t="s">
        <v>0</v>
      </c>
      <c r="C380" s="4">
        <v>265.22631519999999</v>
      </c>
      <c r="D380" s="6">
        <f t="shared" si="30"/>
        <v>2.1898887701181969E-2</v>
      </c>
      <c r="E380" s="4">
        <f t="shared" si="31"/>
        <v>9.2011371673181731E-3</v>
      </c>
      <c r="F380" s="6">
        <f t="shared" si="32"/>
        <v>1.2697750533863796E-2</v>
      </c>
      <c r="G380" s="4">
        <f t="shared" si="35"/>
        <v>5.2978352141723722E-2</v>
      </c>
      <c r="H380" s="4">
        <f t="shared" si="33"/>
        <v>0.2396780953076027</v>
      </c>
      <c r="I380" s="4">
        <f t="shared" si="34"/>
        <v>-0.94766132788981272</v>
      </c>
    </row>
    <row r="381" spans="1:9" x14ac:dyDescent="0.25">
      <c r="A381" s="3">
        <v>40730</v>
      </c>
      <c r="B381" s="4" t="s">
        <v>0</v>
      </c>
      <c r="C381" s="4">
        <v>266.68087709999998</v>
      </c>
      <c r="D381" s="6">
        <f t="shared" si="30"/>
        <v>5.4842291908445877E-3</v>
      </c>
      <c r="E381" s="4">
        <f t="shared" si="31"/>
        <v>1.6482624496353876E-2</v>
      </c>
      <c r="F381" s="6">
        <f t="shared" si="32"/>
        <v>-1.0998395305509289E-2</v>
      </c>
      <c r="G381" s="4">
        <f t="shared" si="35"/>
        <v>2.2398182872310334E-2</v>
      </c>
      <c r="H381" s="4">
        <f t="shared" si="33"/>
        <v>-0.49103962442890903</v>
      </c>
      <c r="I381" s="4">
        <f t="shared" si="34"/>
        <v>-1.0394984895843147</v>
      </c>
    </row>
    <row r="382" spans="1:9" x14ac:dyDescent="0.25">
      <c r="A382" s="3">
        <v>40731</v>
      </c>
      <c r="B382" s="4" t="s">
        <v>0</v>
      </c>
      <c r="C382" s="4">
        <v>272.2798856</v>
      </c>
      <c r="D382" s="6">
        <f t="shared" si="30"/>
        <v>2.0995163061131337E-2</v>
      </c>
      <c r="E382" s="4">
        <f t="shared" si="31"/>
        <v>1.7231742285821246E-2</v>
      </c>
      <c r="F382" s="6">
        <f t="shared" si="32"/>
        <v>3.7634207753100904E-3</v>
      </c>
      <c r="G382" s="4">
        <f t="shared" si="35"/>
        <v>1.9566496226001696E-2</v>
      </c>
      <c r="H382" s="4">
        <f t="shared" si="33"/>
        <v>0.19234004554729237</v>
      </c>
      <c r="I382" s="4">
        <f t="shared" si="34"/>
        <v>-0.93743587976524001</v>
      </c>
    </row>
    <row r="383" spans="1:9" x14ac:dyDescent="0.25">
      <c r="A383" s="3">
        <v>40732</v>
      </c>
      <c r="B383" s="4" t="s">
        <v>0</v>
      </c>
      <c r="C383" s="4">
        <v>265.00216330000001</v>
      </c>
      <c r="D383" s="6">
        <f t="shared" si="30"/>
        <v>-2.6728828256860387E-2</v>
      </c>
      <c r="E383" s="4">
        <f t="shared" si="31"/>
        <v>8.8035095498160548E-3</v>
      </c>
      <c r="F383" s="6">
        <f t="shared" si="32"/>
        <v>-3.5532337806676445E-2</v>
      </c>
      <c r="G383" s="4">
        <f t="shared" si="35"/>
        <v>1.11488180459999E-2</v>
      </c>
      <c r="H383" s="4">
        <f t="shared" si="33"/>
        <v>-3.187094601425049</v>
      </c>
      <c r="I383" s="4">
        <f t="shared" si="34"/>
        <v>-5.9977245324210182</v>
      </c>
    </row>
    <row r="384" spans="1:9" x14ac:dyDescent="0.25">
      <c r="A384" s="3">
        <v>40735</v>
      </c>
      <c r="B384" s="4" t="s">
        <v>0</v>
      </c>
      <c r="C384" s="4">
        <v>262.65596799999997</v>
      </c>
      <c r="D384" s="6">
        <f t="shared" si="30"/>
        <v>-8.8534948952246287E-3</v>
      </c>
      <c r="E384" s="4">
        <f t="shared" si="31"/>
        <v>9.7050372415127609E-3</v>
      </c>
      <c r="F384" s="6">
        <f t="shared" si="32"/>
        <v>-1.8558532136737388E-2</v>
      </c>
      <c r="G384" s="4">
        <f t="shared" si="35"/>
        <v>0.1097593558906062</v>
      </c>
      <c r="H384" s="4">
        <f t="shared" si="33"/>
        <v>-0.16908382876475797</v>
      </c>
      <c r="I384" s="4">
        <f t="shared" si="34"/>
        <v>-0.93323320377954766</v>
      </c>
    </row>
    <row r="385" spans="1:9" x14ac:dyDescent="0.25">
      <c r="A385" s="3">
        <v>40736</v>
      </c>
      <c r="B385" s="4" t="s">
        <v>0</v>
      </c>
      <c r="C385" s="4">
        <v>266.00839070000001</v>
      </c>
      <c r="D385" s="6">
        <f t="shared" si="30"/>
        <v>1.2763550455476549E-2</v>
      </c>
      <c r="E385" s="4">
        <f t="shared" si="31"/>
        <v>-3.7882374829242543E-3</v>
      </c>
      <c r="F385" s="6">
        <f t="shared" si="32"/>
        <v>1.6551787938400803E-2</v>
      </c>
      <c r="G385" s="4">
        <f t="shared" si="35"/>
        <v>4.2592524917019099E-2</v>
      </c>
      <c r="H385" s="4">
        <f t="shared" si="33"/>
        <v>0.38860781253630372</v>
      </c>
      <c r="I385" s="4">
        <f t="shared" si="34"/>
        <v>-0.99444654918679809</v>
      </c>
    </row>
    <row r="386" spans="1:9" x14ac:dyDescent="0.25">
      <c r="A386" s="3">
        <v>40737</v>
      </c>
      <c r="B386" s="4" t="s">
        <v>0</v>
      </c>
      <c r="C386" s="4">
        <v>268.12545999999998</v>
      </c>
      <c r="D386" s="6">
        <f t="shared" si="30"/>
        <v>7.9586560951288386E-3</v>
      </c>
      <c r="E386" s="4">
        <f t="shared" si="31"/>
        <v>-1.1570014606485948E-2</v>
      </c>
      <c r="F386" s="6">
        <f t="shared" si="32"/>
        <v>1.9528670701614785E-2</v>
      </c>
      <c r="G386" s="4">
        <f t="shared" si="35"/>
        <v>2.1624460981900868E-2</v>
      </c>
      <c r="H386" s="4">
        <f t="shared" si="33"/>
        <v>0.90308242679250106</v>
      </c>
      <c r="I386" s="4">
        <f t="shared" si="34"/>
        <v>-1.3267174679953893</v>
      </c>
    </row>
    <row r="387" spans="1:9" x14ac:dyDescent="0.25">
      <c r="A387" s="3">
        <v>40738</v>
      </c>
      <c r="B387" s="4" t="s">
        <v>0</v>
      </c>
      <c r="C387" s="4">
        <v>263.48284310000003</v>
      </c>
      <c r="D387" s="6">
        <f t="shared" si="30"/>
        <v>-1.7315091599283228E-2</v>
      </c>
      <c r="E387" s="4">
        <f t="shared" si="31"/>
        <v>2.1679968545729351E-3</v>
      </c>
      <c r="F387" s="6">
        <f t="shared" si="32"/>
        <v>-1.9483088453856164E-2</v>
      </c>
      <c r="G387" s="4">
        <f t="shared" si="35"/>
        <v>3.2507767582801848E-2</v>
      </c>
      <c r="H387" s="4">
        <f t="shared" si="33"/>
        <v>-0.59933640180704506</v>
      </c>
      <c r="I387" s="4">
        <f t="shared" si="34"/>
        <v>-1.0985405944701805</v>
      </c>
    </row>
    <row r="388" spans="1:9" x14ac:dyDescent="0.25">
      <c r="A388" s="3">
        <v>40739</v>
      </c>
      <c r="B388" s="4" t="s">
        <v>0</v>
      </c>
      <c r="C388" s="4">
        <v>297.69469370000002</v>
      </c>
      <c r="D388" s="6">
        <f t="shared" ref="D388:D451" si="36">(C388-C387)/C387</f>
        <v>0.12984469955417749</v>
      </c>
      <c r="E388" s="4">
        <f t="shared" si="31"/>
        <v>6.9509480794118696E-3</v>
      </c>
      <c r="F388" s="6">
        <f t="shared" si="32"/>
        <v>0.12289375147476563</v>
      </c>
      <c r="G388" s="4">
        <f t="shared" si="35"/>
        <v>2.4561910907510351E-2</v>
      </c>
      <c r="H388" s="4">
        <f t="shared" si="33"/>
        <v>5.0034279473421641</v>
      </c>
      <c r="I388" s="4">
        <f t="shared" si="34"/>
        <v>-13.436084145326983</v>
      </c>
    </row>
    <row r="389" spans="1:9" x14ac:dyDescent="0.25">
      <c r="A389" s="3">
        <v>40742</v>
      </c>
      <c r="B389" s="4" t="s">
        <v>0</v>
      </c>
      <c r="C389" s="4">
        <v>296.35966969999998</v>
      </c>
      <c r="D389" s="6">
        <f t="shared" si="36"/>
        <v>-4.4845408005336996E-3</v>
      </c>
      <c r="E389" s="4">
        <f t="shared" si="31"/>
        <v>-4.1792467157968256E-3</v>
      </c>
      <c r="F389" s="6">
        <f t="shared" si="32"/>
        <v>-3.0529408473687399E-4</v>
      </c>
      <c r="G389" s="4">
        <f t="shared" si="35"/>
        <v>0.17233172015209788</v>
      </c>
      <c r="H389" s="4">
        <f t="shared" si="33"/>
        <v>-1.7715489897473613E-3</v>
      </c>
      <c r="I389" s="4">
        <f t="shared" si="34"/>
        <v>-0.91894010239758428</v>
      </c>
    </row>
    <row r="390" spans="1:9" x14ac:dyDescent="0.25">
      <c r="A390" s="3">
        <v>40743</v>
      </c>
      <c r="B390" s="4" t="s">
        <v>0</v>
      </c>
      <c r="C390" s="4">
        <v>300.15047779999998</v>
      </c>
      <c r="D390" s="6">
        <f t="shared" si="36"/>
        <v>1.2791241479778153E-2</v>
      </c>
      <c r="E390" s="4">
        <f t="shared" si="31"/>
        <v>4.4334055308390276E-2</v>
      </c>
      <c r="F390" s="6">
        <f t="shared" si="32"/>
        <v>-3.1542813828612126E-2</v>
      </c>
      <c r="G390" s="4">
        <f t="shared" si="35"/>
        <v>6.5973666029645689E-2</v>
      </c>
      <c r="H390" s="4">
        <f t="shared" si="33"/>
        <v>-0.47811218819397061</v>
      </c>
      <c r="I390" s="4">
        <f t="shared" si="34"/>
        <v>-1.0332341654544861</v>
      </c>
    </row>
    <row r="391" spans="1:9" x14ac:dyDescent="0.25">
      <c r="A391" s="3">
        <v>40744</v>
      </c>
      <c r="B391" s="4" t="s">
        <v>0</v>
      </c>
      <c r="C391" s="4">
        <v>296.56392410000001</v>
      </c>
      <c r="D391" s="6">
        <f t="shared" si="36"/>
        <v>-1.194918537624253E-2</v>
      </c>
      <c r="E391" s="4">
        <f t="shared" ref="E391:E454" si="37">+$M$16*D390+$M$17*D389+$M$18*D388</f>
        <v>3.8051135550671231E-2</v>
      </c>
      <c r="F391" s="6">
        <f t="shared" ref="F391:F454" si="38">D391-E391</f>
        <v>-5.0000320926913762E-2</v>
      </c>
      <c r="G391" s="4">
        <f t="shared" si="35"/>
        <v>3.0482798264514332E-2</v>
      </c>
      <c r="H391" s="4">
        <f t="shared" ref="H391:H454" si="39">F391/G391</f>
        <v>-1.6402798881203826</v>
      </c>
      <c r="I391" s="4">
        <f t="shared" ref="I391:I454" si="40">LN(_xlfn.NORM.DIST(H391,0,1,FALSE))</f>
        <v>-2.2641975888907804</v>
      </c>
    </row>
    <row r="392" spans="1:9" x14ac:dyDescent="0.25">
      <c r="A392" s="3">
        <v>40745</v>
      </c>
      <c r="B392" s="4" t="s">
        <v>0</v>
      </c>
      <c r="C392" s="4">
        <v>302.36218229999997</v>
      </c>
      <c r="D392" s="6">
        <f t="shared" si="36"/>
        <v>1.9551461687716331E-2</v>
      </c>
      <c r="E392" s="4">
        <f t="shared" si="37"/>
        <v>3.5161862542150654E-3</v>
      </c>
      <c r="F392" s="6">
        <f t="shared" si="38"/>
        <v>1.6035275433501264E-2</v>
      </c>
      <c r="G392" s="4">
        <f t="shared" ref="G392:G455" si="41">SQRT($M$12 + $M$13 *H391^2+$M$14*G391^2)</f>
        <v>5.7791404641553724E-2</v>
      </c>
      <c r="H392" s="4">
        <f t="shared" si="39"/>
        <v>0.27746817252424816</v>
      </c>
      <c r="I392" s="4">
        <f t="shared" si="40"/>
        <v>-0.95743282658664564</v>
      </c>
    </row>
    <row r="393" spans="1:9" x14ac:dyDescent="0.25">
      <c r="A393" s="3">
        <v>40746</v>
      </c>
      <c r="B393" s="4" t="s">
        <v>0</v>
      </c>
      <c r="C393" s="4">
        <v>307.96122120000001</v>
      </c>
      <c r="D393" s="6">
        <f t="shared" si="36"/>
        <v>1.8517656068657233E-2</v>
      </c>
      <c r="E393" s="4">
        <f t="shared" si="37"/>
        <v>-6.5018820105590836E-4</v>
      </c>
      <c r="F393" s="6">
        <f t="shared" si="38"/>
        <v>1.9167844269713141E-2</v>
      </c>
      <c r="G393" s="4">
        <f t="shared" si="41"/>
        <v>2.4545177586636525E-2</v>
      </c>
      <c r="H393" s="4">
        <f t="shared" si="39"/>
        <v>0.78092098547899524</v>
      </c>
      <c r="I393" s="4">
        <f t="shared" si="40"/>
        <v>-1.2238573259854151</v>
      </c>
    </row>
    <row r="394" spans="1:9" x14ac:dyDescent="0.25">
      <c r="A394" s="3">
        <v>40749</v>
      </c>
      <c r="B394" s="4" t="s">
        <v>0</v>
      </c>
      <c r="C394" s="4">
        <v>308.33481840000002</v>
      </c>
      <c r="D394" s="6">
        <f t="shared" si="36"/>
        <v>1.2131306615302058E-3</v>
      </c>
      <c r="E394" s="4">
        <f t="shared" si="37"/>
        <v>3.815023370582571E-3</v>
      </c>
      <c r="F394" s="6">
        <f t="shared" si="38"/>
        <v>-2.6018927090523652E-3</v>
      </c>
      <c r="G394" s="4">
        <f t="shared" si="41"/>
        <v>2.8866682480389112E-2</v>
      </c>
      <c r="H394" s="4">
        <f t="shared" si="39"/>
        <v>-9.0134801975252574E-2</v>
      </c>
      <c r="I394" s="4">
        <f t="shared" si="40"/>
        <v>-0.92300067446823175</v>
      </c>
    </row>
    <row r="395" spans="1:9" x14ac:dyDescent="0.25">
      <c r="A395" s="3">
        <v>40750</v>
      </c>
      <c r="B395" s="4" t="s">
        <v>0</v>
      </c>
      <c r="C395" s="4">
        <v>310.09821820000002</v>
      </c>
      <c r="D395" s="6">
        <f t="shared" si="36"/>
        <v>5.7191069407943381E-3</v>
      </c>
      <c r="E395" s="4">
        <f t="shared" si="37"/>
        <v>1.3066617721476711E-2</v>
      </c>
      <c r="F395" s="6">
        <f t="shared" si="38"/>
        <v>-7.3475107806823727E-3</v>
      </c>
      <c r="G395" s="4">
        <f t="shared" si="41"/>
        <v>1.2482649227822464E-2</v>
      </c>
      <c r="H395" s="4">
        <f t="shared" si="39"/>
        <v>-0.58861790046183249</v>
      </c>
      <c r="I395" s="4">
        <f t="shared" si="40"/>
        <v>-1.0921740495767205</v>
      </c>
    </row>
    <row r="396" spans="1:9" x14ac:dyDescent="0.25">
      <c r="A396" s="3">
        <v>40751</v>
      </c>
      <c r="B396" s="4" t="s">
        <v>0</v>
      </c>
      <c r="C396" s="4">
        <v>302.47677579999998</v>
      </c>
      <c r="D396" s="6">
        <f t="shared" si="36"/>
        <v>-2.4577511100320262E-2</v>
      </c>
      <c r="E396" s="4">
        <f t="shared" si="37"/>
        <v>6.1349421569597213E-3</v>
      </c>
      <c r="F396" s="6">
        <f t="shared" si="38"/>
        <v>-3.0712453257279983E-2</v>
      </c>
      <c r="G396" s="4">
        <f t="shared" si="41"/>
        <v>2.1376421902513137E-2</v>
      </c>
      <c r="H396" s="4">
        <f t="shared" si="39"/>
        <v>-1.4367443437140079</v>
      </c>
      <c r="I396" s="4">
        <f t="shared" si="40"/>
        <v>-1.9510556878017704</v>
      </c>
    </row>
    <row r="397" spans="1:9" x14ac:dyDescent="0.25">
      <c r="A397" s="3">
        <v>40752</v>
      </c>
      <c r="B397" s="4" t="s">
        <v>0</v>
      </c>
      <c r="C397" s="4">
        <v>304.32980670000001</v>
      </c>
      <c r="D397" s="6">
        <f t="shared" si="36"/>
        <v>6.1261923170764692E-3</v>
      </c>
      <c r="E397" s="4">
        <f t="shared" si="37"/>
        <v>2.5573281195305879E-3</v>
      </c>
      <c r="F397" s="6">
        <f t="shared" si="38"/>
        <v>3.5688641975458813E-3</v>
      </c>
      <c r="G397" s="4">
        <f t="shared" si="41"/>
        <v>5.0307915481089024E-2</v>
      </c>
      <c r="H397" s="4">
        <f t="shared" si="39"/>
        <v>7.0940410935679363E-2</v>
      </c>
      <c r="I397" s="4">
        <f t="shared" si="40"/>
        <v>-0.92145480415653425</v>
      </c>
    </row>
    <row r="398" spans="1:9" x14ac:dyDescent="0.25">
      <c r="A398" s="3">
        <v>40753</v>
      </c>
      <c r="B398" s="4" t="s">
        <v>0</v>
      </c>
      <c r="C398" s="4">
        <v>300.7183503</v>
      </c>
      <c r="D398" s="6">
        <f t="shared" si="36"/>
        <v>-1.1866916484983291E-2</v>
      </c>
      <c r="E398" s="4">
        <f t="shared" si="37"/>
        <v>-7.6438600278615678E-3</v>
      </c>
      <c r="F398" s="6">
        <f t="shared" si="38"/>
        <v>-4.2230564571217235E-3</v>
      </c>
      <c r="G398" s="4">
        <f t="shared" si="41"/>
        <v>1.9988582503514894E-2</v>
      </c>
      <c r="H398" s="4">
        <f t="shared" si="39"/>
        <v>-0.21127343354032832</v>
      </c>
      <c r="I398" s="4">
        <f t="shared" si="40"/>
        <v>-0.94125676506463241</v>
      </c>
    </row>
    <row r="399" spans="1:9" x14ac:dyDescent="0.25">
      <c r="A399" s="3">
        <v>40756</v>
      </c>
      <c r="B399" s="4" t="s">
        <v>0</v>
      </c>
      <c r="C399" s="4">
        <v>302.25259360000001</v>
      </c>
      <c r="D399" s="6">
        <f t="shared" si="36"/>
        <v>5.1019277622048531E-3</v>
      </c>
      <c r="E399" s="4">
        <f t="shared" si="37"/>
        <v>-5.1852384794416973E-3</v>
      </c>
      <c r="F399" s="6">
        <f t="shared" si="38"/>
        <v>1.028716624164655E-2</v>
      </c>
      <c r="G399" s="4">
        <f t="shared" si="41"/>
        <v>1.1651615356965767E-2</v>
      </c>
      <c r="H399" s="4">
        <f t="shared" si="39"/>
        <v>0.88289614156345297</v>
      </c>
      <c r="I399" s="4">
        <f t="shared" si="40"/>
        <v>-1.3086913315984892</v>
      </c>
    </row>
    <row r="400" spans="1:9" x14ac:dyDescent="0.25">
      <c r="A400" s="3">
        <v>40757</v>
      </c>
      <c r="B400" s="4" t="s">
        <v>0</v>
      </c>
      <c r="C400" s="4">
        <v>295.09440869999997</v>
      </c>
      <c r="D400" s="6">
        <f t="shared" si="36"/>
        <v>-2.3682790657780603E-2</v>
      </c>
      <c r="E400" s="4">
        <f t="shared" si="37"/>
        <v>-2.6602135563857394E-3</v>
      </c>
      <c r="F400" s="6">
        <f t="shared" si="38"/>
        <v>-2.1022577101394865E-2</v>
      </c>
      <c r="G400" s="4">
        <f t="shared" si="41"/>
        <v>3.1077144697278142E-2</v>
      </c>
      <c r="H400" s="4">
        <f t="shared" si="39"/>
        <v>-0.67646424104194181</v>
      </c>
      <c r="I400" s="4">
        <f t="shared" si="40"/>
        <v>-1.1477404679088978</v>
      </c>
    </row>
    <row r="401" spans="1:9" x14ac:dyDescent="0.25">
      <c r="A401" s="3">
        <v>40758</v>
      </c>
      <c r="B401" s="4" t="s">
        <v>0</v>
      </c>
      <c r="C401" s="4">
        <v>299.4630684</v>
      </c>
      <c r="D401" s="6">
        <f t="shared" si="36"/>
        <v>1.4804278126602214E-2</v>
      </c>
      <c r="E401" s="4">
        <f t="shared" si="37"/>
        <v>-1.684382132495661E-3</v>
      </c>
      <c r="F401" s="6">
        <f t="shared" si="38"/>
        <v>1.6488660259097874E-2</v>
      </c>
      <c r="G401" s="4">
        <f t="shared" si="41"/>
        <v>2.6576688471312657E-2</v>
      </c>
      <c r="H401" s="4">
        <f t="shared" si="39"/>
        <v>0.62041816371878022</v>
      </c>
      <c r="I401" s="4">
        <f t="shared" si="40"/>
        <v>-1.1113978821407642</v>
      </c>
    </row>
    <row r="402" spans="1:9" x14ac:dyDescent="0.25">
      <c r="A402" s="3">
        <v>40759</v>
      </c>
      <c r="B402" s="4" t="s">
        <v>0</v>
      </c>
      <c r="C402" s="4">
        <v>287.68219499999998</v>
      </c>
      <c r="D402" s="6">
        <f t="shared" si="36"/>
        <v>-3.9339987608301749E-2</v>
      </c>
      <c r="E402" s="4">
        <f t="shared" si="37"/>
        <v>-7.4906659232498729E-3</v>
      </c>
      <c r="F402" s="6">
        <f t="shared" si="38"/>
        <v>-3.1849321685051876E-2</v>
      </c>
      <c r="G402" s="4">
        <f t="shared" si="41"/>
        <v>2.4137322178645743E-2</v>
      </c>
      <c r="H402" s="4">
        <f t="shared" si="39"/>
        <v>-1.3195051816157521</v>
      </c>
      <c r="I402" s="4">
        <f t="shared" si="40"/>
        <v>-1.7894854953600821</v>
      </c>
    </row>
    <row r="403" spans="1:9" x14ac:dyDescent="0.25">
      <c r="A403" s="3">
        <v>40760</v>
      </c>
      <c r="B403" s="4" t="s">
        <v>0</v>
      </c>
      <c r="C403" s="4">
        <v>288.43936789999998</v>
      </c>
      <c r="D403" s="6">
        <f t="shared" si="36"/>
        <v>2.6319769285686957E-3</v>
      </c>
      <c r="E403" s="4">
        <f t="shared" si="37"/>
        <v>-1.5943259797473377E-3</v>
      </c>
      <c r="F403" s="6">
        <f t="shared" si="38"/>
        <v>4.226302908316033E-3</v>
      </c>
      <c r="G403" s="4">
        <f t="shared" si="41"/>
        <v>4.6554382936518833E-2</v>
      </c>
      <c r="H403" s="4">
        <f t="shared" si="39"/>
        <v>9.0782062648730288E-2</v>
      </c>
      <c r="I403" s="4">
        <f t="shared" si="40"/>
        <v>-0.92305922465405155</v>
      </c>
    </row>
    <row r="404" spans="1:9" x14ac:dyDescent="0.25">
      <c r="A404" s="3">
        <v>40763</v>
      </c>
      <c r="B404" s="4" t="s">
        <v>0</v>
      </c>
      <c r="C404" s="4">
        <v>271.99097560000001</v>
      </c>
      <c r="D404" s="6">
        <f t="shared" si="36"/>
        <v>-5.7025476167672493E-2</v>
      </c>
      <c r="E404" s="4">
        <f t="shared" si="37"/>
        <v>-1.0504964103132994E-2</v>
      </c>
      <c r="F404" s="6">
        <f t="shared" si="38"/>
        <v>-4.6520512064539499E-2</v>
      </c>
      <c r="G404" s="4">
        <f t="shared" si="41"/>
        <v>1.8717746265508893E-2</v>
      </c>
      <c r="H404" s="4">
        <f t="shared" si="39"/>
        <v>-2.4853693070015934</v>
      </c>
      <c r="I404" s="4">
        <f t="shared" si="40"/>
        <v>-4.007468829297463</v>
      </c>
    </row>
    <row r="405" spans="1:9" x14ac:dyDescent="0.25">
      <c r="A405" s="3">
        <v>40764</v>
      </c>
      <c r="B405" s="4" t="s">
        <v>0</v>
      </c>
      <c r="C405" s="4">
        <v>285.63485839999998</v>
      </c>
      <c r="D405" s="6">
        <f t="shared" si="36"/>
        <v>5.016299812853045E-2</v>
      </c>
      <c r="E405" s="4">
        <f t="shared" si="37"/>
        <v>-1.1042948667428361E-2</v>
      </c>
      <c r="F405" s="6">
        <f t="shared" si="38"/>
        <v>6.120594679595881E-2</v>
      </c>
      <c r="G405" s="4">
        <f t="shared" si="41"/>
        <v>8.588300326309313E-2</v>
      </c>
      <c r="H405" s="4">
        <f t="shared" si="39"/>
        <v>0.71266658675711569</v>
      </c>
      <c r="I405" s="4">
        <f t="shared" si="40"/>
        <v>-1.1728853651446913</v>
      </c>
    </row>
    <row r="406" spans="1:9" x14ac:dyDescent="0.25">
      <c r="A406" s="3">
        <v>40765</v>
      </c>
      <c r="B406" s="4" t="s">
        <v>0</v>
      </c>
      <c r="C406" s="4">
        <v>273.48038839999998</v>
      </c>
      <c r="D406" s="6">
        <f t="shared" si="36"/>
        <v>-4.2552474400652511E-2</v>
      </c>
      <c r="E406" s="4">
        <f t="shared" si="37"/>
        <v>-2.0992602367142212E-2</v>
      </c>
      <c r="F406" s="6">
        <f t="shared" si="38"/>
        <v>-2.1559872033510299E-2</v>
      </c>
      <c r="G406" s="4">
        <f t="shared" si="41"/>
        <v>4.1229317184080801E-2</v>
      </c>
      <c r="H406" s="4">
        <f t="shared" si="39"/>
        <v>-0.52292576026058613</v>
      </c>
      <c r="I406" s="4">
        <f t="shared" si="40"/>
        <v>-1.0556642085767287</v>
      </c>
    </row>
    <row r="407" spans="1:9" x14ac:dyDescent="0.25">
      <c r="A407" s="3">
        <v>40766</v>
      </c>
      <c r="B407" s="4" t="s">
        <v>0</v>
      </c>
      <c r="C407" s="4">
        <v>280.01592210000001</v>
      </c>
      <c r="D407" s="6">
        <f t="shared" si="36"/>
        <v>2.3897632068742632E-2</v>
      </c>
      <c r="E407" s="4">
        <f t="shared" si="37"/>
        <v>1.7112423786538634E-3</v>
      </c>
      <c r="F407" s="6">
        <f t="shared" si="38"/>
        <v>2.2186389690088768E-2</v>
      </c>
      <c r="G407" s="4">
        <f t="shared" si="41"/>
        <v>2.4406146945160762E-2</v>
      </c>
      <c r="H407" s="4">
        <f t="shared" si="39"/>
        <v>0.90904925467917308</v>
      </c>
      <c r="I407" s="4">
        <f t="shared" si="40"/>
        <v>-1.3321238069210526</v>
      </c>
    </row>
    <row r="408" spans="1:9" x14ac:dyDescent="0.25">
      <c r="A408" s="3">
        <v>40767</v>
      </c>
      <c r="B408" s="4" t="s">
        <v>0</v>
      </c>
      <c r="C408" s="4">
        <v>280.83284850000001</v>
      </c>
      <c r="D408" s="6">
        <f t="shared" si="36"/>
        <v>2.917428387190986E-3</v>
      </c>
      <c r="E408" s="4">
        <f t="shared" si="37"/>
        <v>-9.039195049413036E-4</v>
      </c>
      <c r="F408" s="6">
        <f t="shared" si="38"/>
        <v>3.8213478921322896E-3</v>
      </c>
      <c r="G408" s="4">
        <f t="shared" si="41"/>
        <v>3.2987758813263698E-2</v>
      </c>
      <c r="H408" s="4">
        <f t="shared" si="39"/>
        <v>0.11584139176486899</v>
      </c>
      <c r="I408" s="4">
        <f t="shared" si="40"/>
        <v>-0.92564814722768374</v>
      </c>
    </row>
    <row r="409" spans="1:9" x14ac:dyDescent="0.25">
      <c r="A409" s="3">
        <v>40770</v>
      </c>
      <c r="B409" s="4" t="s">
        <v>0</v>
      </c>
      <c r="C409" s="4">
        <v>277.57506100000001</v>
      </c>
      <c r="D409" s="6">
        <f t="shared" si="36"/>
        <v>-1.1600450294189877E-2</v>
      </c>
      <c r="E409" s="4">
        <f t="shared" si="37"/>
        <v>-3.8961629869572832E-3</v>
      </c>
      <c r="F409" s="6">
        <f t="shared" si="38"/>
        <v>-7.7042873072325942E-3</v>
      </c>
      <c r="G409" s="4">
        <f t="shared" si="41"/>
        <v>1.4114534118336658E-2</v>
      </c>
      <c r="H409" s="4">
        <f t="shared" si="39"/>
        <v>-0.54584070877859858</v>
      </c>
      <c r="I409" s="4">
        <f t="shared" si="40"/>
        <v>-1.067909572884634</v>
      </c>
    </row>
    <row r="410" spans="1:9" x14ac:dyDescent="0.25">
      <c r="A410" s="3">
        <v>40771</v>
      </c>
      <c r="B410" s="4" t="s">
        <v>0</v>
      </c>
      <c r="C410" s="4">
        <v>268.4940823</v>
      </c>
      <c r="D410" s="6">
        <f t="shared" si="36"/>
        <v>-3.2715398376513383E-2</v>
      </c>
      <c r="E410" s="4">
        <f t="shared" si="37"/>
        <v>8.433742915054554E-3</v>
      </c>
      <c r="F410" s="6">
        <f t="shared" si="38"/>
        <v>-4.1149141291567937E-2</v>
      </c>
      <c r="G410" s="4">
        <f t="shared" si="41"/>
        <v>2.0147576197662141E-2</v>
      </c>
      <c r="H410" s="4">
        <f t="shared" si="39"/>
        <v>-2.0423866815474683</v>
      </c>
      <c r="I410" s="4">
        <f t="shared" si="40"/>
        <v>-3.0046102116859124</v>
      </c>
    </row>
    <row r="411" spans="1:9" x14ac:dyDescent="0.25">
      <c r="A411" s="3">
        <v>40772</v>
      </c>
      <c r="B411" s="4" t="s">
        <v>0</v>
      </c>
      <c r="C411" s="4">
        <v>265.57998400000002</v>
      </c>
      <c r="D411" s="6">
        <f t="shared" si="36"/>
        <v>-1.0853491723307072E-2</v>
      </c>
      <c r="E411" s="4">
        <f t="shared" si="37"/>
        <v>-3.5417964730712196E-3</v>
      </c>
      <c r="F411" s="6">
        <f t="shared" si="38"/>
        <v>-7.3116952502358529E-3</v>
      </c>
      <c r="G411" s="4">
        <f t="shared" si="41"/>
        <v>7.0807004040785868E-2</v>
      </c>
      <c r="H411" s="4">
        <f t="shared" si="39"/>
        <v>-0.10326231633842621</v>
      </c>
      <c r="I411" s="4">
        <f t="shared" si="40"/>
        <v>-0.92427008619246132</v>
      </c>
    </row>
    <row r="412" spans="1:9" x14ac:dyDescent="0.25">
      <c r="A412" s="3">
        <v>40773</v>
      </c>
      <c r="B412" s="4" t="s">
        <v>0</v>
      </c>
      <c r="C412" s="4">
        <v>251.49776109999999</v>
      </c>
      <c r="D412" s="6">
        <f t="shared" si="36"/>
        <v>-5.3024413541647143E-2</v>
      </c>
      <c r="E412" s="4">
        <f t="shared" si="37"/>
        <v>-1.6059297517848514E-2</v>
      </c>
      <c r="F412" s="6">
        <f t="shared" si="38"/>
        <v>-3.6965116023798629E-2</v>
      </c>
      <c r="G412" s="4">
        <f t="shared" si="41"/>
        <v>2.7712677820469829E-2</v>
      </c>
      <c r="H412" s="4">
        <f t="shared" si="39"/>
        <v>-1.333870233084965</v>
      </c>
      <c r="I412" s="4">
        <f t="shared" si="40"/>
        <v>-1.808543432559742</v>
      </c>
    </row>
    <row r="413" spans="1:9" x14ac:dyDescent="0.25">
      <c r="A413" s="3">
        <v>40774</v>
      </c>
      <c r="B413" s="4" t="s">
        <v>0</v>
      </c>
      <c r="C413" s="4">
        <v>244.54381520000001</v>
      </c>
      <c r="D413" s="6">
        <f t="shared" si="36"/>
        <v>-2.7650130440862918E-2</v>
      </c>
      <c r="E413" s="4">
        <f t="shared" si="37"/>
        <v>-1.4169287939008089E-2</v>
      </c>
      <c r="F413" s="6">
        <f t="shared" si="38"/>
        <v>-1.3480842501854828E-2</v>
      </c>
      <c r="G413" s="4">
        <f t="shared" si="41"/>
        <v>4.7321987357689943E-2</v>
      </c>
      <c r="H413" s="4">
        <f t="shared" si="39"/>
        <v>-0.28487481728013603</v>
      </c>
      <c r="I413" s="4">
        <f t="shared" si="40"/>
        <v>-0.95951536396486803</v>
      </c>
    </row>
    <row r="414" spans="1:9" x14ac:dyDescent="0.25">
      <c r="A414" s="3">
        <v>40777</v>
      </c>
      <c r="B414" s="4" t="s">
        <v>0</v>
      </c>
      <c r="C414" s="4">
        <v>248.15528710000001</v>
      </c>
      <c r="D414" s="6">
        <f t="shared" si="36"/>
        <v>1.4768199707060094E-2</v>
      </c>
      <c r="E414" s="4">
        <f t="shared" si="37"/>
        <v>-2.3594590158029768E-2</v>
      </c>
      <c r="F414" s="6">
        <f t="shared" si="38"/>
        <v>3.8362789865089862E-2</v>
      </c>
      <c r="G414" s="4">
        <f t="shared" si="41"/>
        <v>2.1142908663036478E-2</v>
      </c>
      <c r="H414" s="4">
        <f t="shared" si="39"/>
        <v>1.8144518560096885</v>
      </c>
      <c r="I414" s="4">
        <f t="shared" si="40"/>
        <v>-2.5650563020931743</v>
      </c>
    </row>
    <row r="415" spans="1:9" x14ac:dyDescent="0.25">
      <c r="A415" s="3">
        <v>40778</v>
      </c>
      <c r="B415" s="4" t="s">
        <v>0</v>
      </c>
      <c r="C415" s="4">
        <v>258.44172750000001</v>
      </c>
      <c r="D415" s="6">
        <f t="shared" si="36"/>
        <v>4.1451627004242875E-2</v>
      </c>
      <c r="E415" s="4">
        <f t="shared" si="37"/>
        <v>-2.680861879842486E-2</v>
      </c>
      <c r="F415" s="6">
        <f t="shared" si="38"/>
        <v>6.8260245802667735E-2</v>
      </c>
      <c r="G415" s="4">
        <f t="shared" si="41"/>
        <v>6.3092719181450818E-2</v>
      </c>
      <c r="H415" s="4">
        <f t="shared" si="39"/>
        <v>1.081903691713705</v>
      </c>
      <c r="I415" s="4">
        <f t="shared" si="40"/>
        <v>-1.5041963322765444</v>
      </c>
    </row>
    <row r="416" spans="1:9" x14ac:dyDescent="0.25">
      <c r="A416" s="3">
        <v>40779</v>
      </c>
      <c r="B416" s="4" t="s">
        <v>0</v>
      </c>
      <c r="C416" s="4">
        <v>260.66838539999998</v>
      </c>
      <c r="D416" s="6">
        <f t="shared" si="36"/>
        <v>8.6157058364344959E-3</v>
      </c>
      <c r="E416" s="4">
        <f t="shared" si="37"/>
        <v>-2.821508750951246E-3</v>
      </c>
      <c r="F416" s="6">
        <f t="shared" si="38"/>
        <v>1.1437214587385742E-2</v>
      </c>
      <c r="G416" s="4">
        <f t="shared" si="41"/>
        <v>4.4589035910776384E-2</v>
      </c>
      <c r="H416" s="4">
        <f t="shared" si="39"/>
        <v>0.25650284545895663</v>
      </c>
      <c r="I416" s="4">
        <f t="shared" si="40"/>
        <v>-0.95183538806894341</v>
      </c>
    </row>
    <row r="417" spans="1:9" x14ac:dyDescent="0.25">
      <c r="A417" s="3">
        <v>40780</v>
      </c>
      <c r="B417" s="4" t="s">
        <v>0</v>
      </c>
      <c r="C417" s="4">
        <v>259.04945550000002</v>
      </c>
      <c r="D417" s="6">
        <f t="shared" si="36"/>
        <v>-6.2106875657962132E-3</v>
      </c>
      <c r="E417" s="4">
        <f t="shared" si="37"/>
        <v>2.0369061668187798E-2</v>
      </c>
      <c r="F417" s="6">
        <f t="shared" si="38"/>
        <v>-2.6579749233984012E-2</v>
      </c>
      <c r="G417" s="4">
        <f t="shared" si="41"/>
        <v>1.9805708693752644E-2</v>
      </c>
      <c r="H417" s="4">
        <f t="shared" si="39"/>
        <v>-1.3420246477909734</v>
      </c>
      <c r="I417" s="4">
        <f t="shared" si="40"/>
        <v>-1.8194536108439157</v>
      </c>
    </row>
    <row r="418" spans="1:9" x14ac:dyDescent="0.25">
      <c r="A418" s="3">
        <v>40781</v>
      </c>
      <c r="B418" s="4" t="s">
        <v>0</v>
      </c>
      <c r="C418" s="4">
        <v>262.44673920000002</v>
      </c>
      <c r="D418" s="6">
        <f t="shared" si="36"/>
        <v>1.3114421311725175E-2</v>
      </c>
      <c r="E418" s="4">
        <f t="shared" si="37"/>
        <v>1.5988133534424052E-2</v>
      </c>
      <c r="F418" s="6">
        <f t="shared" si="38"/>
        <v>-2.8737122226988772E-3</v>
      </c>
      <c r="G418" s="4">
        <f t="shared" si="41"/>
        <v>4.70149501230488E-2</v>
      </c>
      <c r="H418" s="4">
        <f t="shared" si="39"/>
        <v>-6.1123370655030367E-2</v>
      </c>
      <c r="I418" s="4">
        <f t="shared" si="40"/>
        <v>-0.92080656642478886</v>
      </c>
    </row>
    <row r="419" spans="1:9" x14ac:dyDescent="0.25">
      <c r="A419" s="3">
        <v>40784</v>
      </c>
      <c r="B419" s="4" t="s">
        <v>0</v>
      </c>
      <c r="C419" s="4">
        <v>268.53393840000001</v>
      </c>
      <c r="D419" s="6">
        <f t="shared" si="36"/>
        <v>2.3194036315921526E-2</v>
      </c>
      <c r="E419" s="4">
        <f t="shared" si="37"/>
        <v>2.6462448063923694E-4</v>
      </c>
      <c r="F419" s="6">
        <f t="shared" si="38"/>
        <v>2.2929411835282288E-2</v>
      </c>
      <c r="G419" s="4">
        <f t="shared" si="41"/>
        <v>1.8743254810585468E-2</v>
      </c>
      <c r="H419" s="4">
        <f t="shared" si="39"/>
        <v>1.2233420538215507</v>
      </c>
      <c r="I419" s="4">
        <f t="shared" si="40"/>
        <v>-1.6672214235288376</v>
      </c>
    </row>
    <row r="420" spans="1:9" x14ac:dyDescent="0.25">
      <c r="A420" s="3">
        <v>40785</v>
      </c>
      <c r="B420" s="4" t="s">
        <v>0</v>
      </c>
      <c r="C420" s="4">
        <v>269.34091610000002</v>
      </c>
      <c r="D420" s="6">
        <f t="shared" si="36"/>
        <v>3.0051236905405789E-3</v>
      </c>
      <c r="E420" s="4">
        <f t="shared" si="37"/>
        <v>3.1117977914291925E-3</v>
      </c>
      <c r="F420" s="6">
        <f t="shared" si="38"/>
        <v>-1.0667410088861361E-4</v>
      </c>
      <c r="G420" s="4">
        <f t="shared" si="41"/>
        <v>4.2949053976711102E-2</v>
      </c>
      <c r="H420" s="4">
        <f t="shared" si="39"/>
        <v>-2.4837357522812281E-3</v>
      </c>
      <c r="I420" s="4">
        <f t="shared" si="40"/>
        <v>-0.91894161767631621</v>
      </c>
    </row>
    <row r="421" spans="1:9" x14ac:dyDescent="0.25">
      <c r="A421" s="3">
        <v>40786</v>
      </c>
      <c r="B421" s="4" t="s">
        <v>0</v>
      </c>
      <c r="C421" s="4">
        <v>269.4704327</v>
      </c>
      <c r="D421" s="6">
        <f t="shared" si="36"/>
        <v>4.808649271538885E-4</v>
      </c>
      <c r="E421" s="4">
        <f t="shared" si="37"/>
        <v>1.2882978687246961E-2</v>
      </c>
      <c r="F421" s="6">
        <f t="shared" si="38"/>
        <v>-1.2402113760093071E-2</v>
      </c>
      <c r="G421" s="4">
        <f t="shared" si="41"/>
        <v>1.713470639538419E-2</v>
      </c>
      <c r="H421" s="4">
        <f t="shared" si="39"/>
        <v>-0.72380077451656821</v>
      </c>
      <c r="I421" s="4">
        <f t="shared" si="40"/>
        <v>-1.1808823138000648</v>
      </c>
    </row>
    <row r="422" spans="1:9" x14ac:dyDescent="0.25">
      <c r="A422" s="3">
        <v>40787</v>
      </c>
      <c r="B422" s="4" t="s">
        <v>0</v>
      </c>
      <c r="C422" s="4">
        <v>265.2562226</v>
      </c>
      <c r="D422" s="6">
        <f t="shared" si="36"/>
        <v>-1.5638858993823862E-2</v>
      </c>
      <c r="E422" s="4">
        <f t="shared" si="37"/>
        <v>8.2520308792245894E-3</v>
      </c>
      <c r="F422" s="6">
        <f t="shared" si="38"/>
        <v>-2.3890889873048451E-2</v>
      </c>
      <c r="G422" s="4">
        <f t="shared" si="41"/>
        <v>2.62049670501763E-2</v>
      </c>
      <c r="H422" s="4">
        <f t="shared" si="39"/>
        <v>-0.91169318500966101</v>
      </c>
      <c r="I422" s="4">
        <f t="shared" si="40"/>
        <v>-1.3345307650012028</v>
      </c>
    </row>
    <row r="423" spans="1:9" x14ac:dyDescent="0.25">
      <c r="A423" s="3">
        <v>40788</v>
      </c>
      <c r="B423" s="4" t="s">
        <v>0</v>
      </c>
      <c r="C423" s="4">
        <v>261.44051180000002</v>
      </c>
      <c r="D423" s="6">
        <f t="shared" si="36"/>
        <v>-1.4385000142876862E-2</v>
      </c>
      <c r="E423" s="4">
        <f t="shared" si="37"/>
        <v>1.1038376665025904E-3</v>
      </c>
      <c r="F423" s="6">
        <f t="shared" si="38"/>
        <v>-1.5488837809379452E-2</v>
      </c>
      <c r="G423" s="4">
        <f t="shared" si="41"/>
        <v>3.3273834253333211E-2</v>
      </c>
      <c r="H423" s="4">
        <f t="shared" si="39"/>
        <v>-0.46549603185054805</v>
      </c>
      <c r="I423" s="4">
        <f t="shared" si="40"/>
        <v>-1.0272818110389759</v>
      </c>
    </row>
    <row r="424" spans="1:9" x14ac:dyDescent="0.25">
      <c r="A424" s="3">
        <v>40792</v>
      </c>
      <c r="B424" s="4" t="s">
        <v>0</v>
      </c>
      <c r="C424" s="4">
        <v>260.1154669</v>
      </c>
      <c r="D424" s="6">
        <f t="shared" si="36"/>
        <v>-5.0682462747535934E-3</v>
      </c>
      <c r="E424" s="4">
        <f t="shared" si="37"/>
        <v>-5.8314325286514743E-3</v>
      </c>
      <c r="F424" s="6">
        <f t="shared" si="38"/>
        <v>7.6318625389788092E-4</v>
      </c>
      <c r="G424" s="4">
        <f t="shared" si="41"/>
        <v>2.1028639775088731E-2</v>
      </c>
      <c r="H424" s="4">
        <f t="shared" si="39"/>
        <v>3.6292706616334658E-2</v>
      </c>
      <c r="I424" s="4">
        <f t="shared" si="40"/>
        <v>-0.91959711348144235</v>
      </c>
    </row>
    <row r="425" spans="1:9" x14ac:dyDescent="0.25">
      <c r="A425" s="3">
        <v>40793</v>
      </c>
      <c r="B425" s="4" t="s">
        <v>0</v>
      </c>
      <c r="C425" s="4">
        <v>266.01836980000002</v>
      </c>
      <c r="D425" s="6">
        <f t="shared" si="36"/>
        <v>2.269339447726634E-2</v>
      </c>
      <c r="E425" s="4">
        <f t="shared" si="37"/>
        <v>-1.0288623121836347E-2</v>
      </c>
      <c r="F425" s="6">
        <f t="shared" si="38"/>
        <v>3.2982017599102686E-2</v>
      </c>
      <c r="G425" s="4">
        <f t="shared" si="41"/>
        <v>9.5279590711555059E-3</v>
      </c>
      <c r="H425" s="4">
        <f t="shared" si="39"/>
        <v>3.4616036186543759</v>
      </c>
      <c r="I425" s="4">
        <f t="shared" si="40"/>
        <v>-6.9102883395452084</v>
      </c>
    </row>
    <row r="426" spans="1:9" x14ac:dyDescent="0.25">
      <c r="A426" s="3">
        <v>40794</v>
      </c>
      <c r="B426" s="4" t="s">
        <v>0</v>
      </c>
      <c r="C426" s="4">
        <v>266.48162739999998</v>
      </c>
      <c r="D426" s="6">
        <f t="shared" si="36"/>
        <v>1.7414496613457672E-3</v>
      </c>
      <c r="E426" s="4">
        <f t="shared" si="37"/>
        <v>-6.3424694626476232E-3</v>
      </c>
      <c r="F426" s="6">
        <f t="shared" si="38"/>
        <v>8.0839191239933904E-3</v>
      </c>
      <c r="G426" s="4">
        <f t="shared" si="41"/>
        <v>0.11916026190731763</v>
      </c>
      <c r="H426" s="4">
        <f t="shared" si="39"/>
        <v>6.7840729741606556E-2</v>
      </c>
      <c r="I426" s="4">
        <f t="shared" si="40"/>
        <v>-0.92123971551060957</v>
      </c>
    </row>
    <row r="427" spans="1:9" x14ac:dyDescent="0.25">
      <c r="A427" s="3">
        <v>40795</v>
      </c>
      <c r="B427" s="4" t="s">
        <v>0</v>
      </c>
      <c r="C427" s="4">
        <v>261.44548609999998</v>
      </c>
      <c r="D427" s="6">
        <f t="shared" si="36"/>
        <v>-1.8898643591817081E-2</v>
      </c>
      <c r="E427" s="4">
        <f t="shared" si="37"/>
        <v>7.1230862727549313E-3</v>
      </c>
      <c r="F427" s="6">
        <f t="shared" si="38"/>
        <v>-2.6021729864572012E-2</v>
      </c>
      <c r="G427" s="4">
        <f t="shared" si="41"/>
        <v>4.5818995497068242E-2</v>
      </c>
      <c r="H427" s="4">
        <f t="shared" si="39"/>
        <v>-0.56792449468336836</v>
      </c>
      <c r="I427" s="4">
        <f t="shared" si="40"/>
        <v>-1.0802076490353523</v>
      </c>
    </row>
    <row r="428" spans="1:9" x14ac:dyDescent="0.25">
      <c r="A428" s="3">
        <v>40798</v>
      </c>
      <c r="B428" s="4" t="s">
        <v>0</v>
      </c>
      <c r="C428" s="4">
        <v>264.07064339999999</v>
      </c>
      <c r="D428" s="6">
        <f t="shared" si="36"/>
        <v>1.0040935642682769E-2</v>
      </c>
      <c r="E428" s="4">
        <f t="shared" si="37"/>
        <v>7.6152442970787056E-3</v>
      </c>
      <c r="F428" s="6">
        <f t="shared" si="38"/>
        <v>2.4256913456040634E-3</v>
      </c>
      <c r="G428" s="4">
        <f t="shared" si="41"/>
        <v>2.6681284884262198E-2</v>
      </c>
      <c r="H428" s="4">
        <f t="shared" si="39"/>
        <v>9.0913588162121958E-2</v>
      </c>
      <c r="I428" s="4">
        <f t="shared" si="40"/>
        <v>-0.9230711734609286</v>
      </c>
    </row>
    <row r="429" spans="1:9" x14ac:dyDescent="0.25">
      <c r="A429" s="3">
        <v>40799</v>
      </c>
      <c r="B429" s="4" t="s">
        <v>0</v>
      </c>
      <c r="C429" s="4">
        <v>263.77178409999999</v>
      </c>
      <c r="D429" s="6">
        <f t="shared" si="36"/>
        <v>-1.1317399622770932E-3</v>
      </c>
      <c r="E429" s="4">
        <f t="shared" si="37"/>
        <v>-6.6910350475202131E-3</v>
      </c>
      <c r="F429" s="6">
        <f t="shared" si="38"/>
        <v>5.5592950852431204E-3</v>
      </c>
      <c r="G429" s="4">
        <f t="shared" si="41"/>
        <v>1.1759809587705476E-2</v>
      </c>
      <c r="H429" s="4">
        <f t="shared" si="39"/>
        <v>0.47273682824381735</v>
      </c>
      <c r="I429" s="4">
        <f t="shared" si="40"/>
        <v>-1.0306785875936848</v>
      </c>
    </row>
    <row r="430" spans="1:9" x14ac:dyDescent="0.25">
      <c r="A430" s="3">
        <v>40800</v>
      </c>
      <c r="B430" s="4" t="s">
        <v>0</v>
      </c>
      <c r="C430" s="4">
        <v>265.04201940000002</v>
      </c>
      <c r="D430" s="6">
        <f t="shared" si="36"/>
        <v>4.8156602660671937E-3</v>
      </c>
      <c r="E430" s="4">
        <f t="shared" si="37"/>
        <v>-1.9493330234660287E-3</v>
      </c>
      <c r="F430" s="6">
        <f t="shared" si="38"/>
        <v>6.7649932895332224E-3</v>
      </c>
      <c r="G430" s="4">
        <f t="shared" si="41"/>
        <v>1.7579737664533333E-2</v>
      </c>
      <c r="H430" s="4">
        <f t="shared" si="39"/>
        <v>0.38481764737487645</v>
      </c>
      <c r="I430" s="4">
        <f t="shared" si="40"/>
        <v>-0.99298084407024001</v>
      </c>
    </row>
    <row r="431" spans="1:9" x14ac:dyDescent="0.25">
      <c r="A431" s="3">
        <v>40801</v>
      </c>
      <c r="B431" s="4" t="s">
        <v>0</v>
      </c>
      <c r="C431" s="4">
        <v>270.2674313</v>
      </c>
      <c r="D431" s="6">
        <f t="shared" si="36"/>
        <v>1.9715409321998181E-2</v>
      </c>
      <c r="E431" s="4">
        <f t="shared" si="37"/>
        <v>2.6425143993589854E-3</v>
      </c>
      <c r="F431" s="6">
        <f t="shared" si="38"/>
        <v>1.7072894922639196E-2</v>
      </c>
      <c r="G431" s="4">
        <f t="shared" si="41"/>
        <v>1.5646971349475215E-2</v>
      </c>
      <c r="H431" s="4">
        <f t="shared" si="39"/>
        <v>1.0911309633868413</v>
      </c>
      <c r="I431" s="4">
        <f t="shared" si="40"/>
        <v>-1.514221922835421</v>
      </c>
    </row>
    <row r="432" spans="1:9" x14ac:dyDescent="0.25">
      <c r="A432" s="3">
        <v>40802</v>
      </c>
      <c r="B432" s="4" t="s">
        <v>0</v>
      </c>
      <c r="C432" s="4">
        <v>272.31974179999997</v>
      </c>
      <c r="D432" s="6">
        <f t="shared" si="36"/>
        <v>7.5936286149176713E-3</v>
      </c>
      <c r="E432" s="4">
        <f t="shared" si="37"/>
        <v>1.4947232808384032E-3</v>
      </c>
      <c r="F432" s="6">
        <f t="shared" si="38"/>
        <v>6.0989053340792677E-3</v>
      </c>
      <c r="G432" s="4">
        <f t="shared" si="41"/>
        <v>3.8307632592406132E-2</v>
      </c>
      <c r="H432" s="4">
        <f t="shared" si="39"/>
        <v>0.15920862035437494</v>
      </c>
      <c r="I432" s="4">
        <f t="shared" si="40"/>
        <v>-0.93161222560224433</v>
      </c>
    </row>
    <row r="433" spans="1:9" x14ac:dyDescent="0.25">
      <c r="A433" s="3">
        <v>40805</v>
      </c>
      <c r="B433" s="4" t="s">
        <v>0</v>
      </c>
      <c r="C433" s="4">
        <v>272.31476739999999</v>
      </c>
      <c r="D433" s="6">
        <f t="shared" si="36"/>
        <v>-1.8266762325420601E-5</v>
      </c>
      <c r="E433" s="4">
        <f t="shared" si="37"/>
        <v>9.0117497256543E-3</v>
      </c>
      <c r="F433" s="6">
        <f t="shared" si="38"/>
        <v>-9.030016487979721E-3</v>
      </c>
      <c r="G433" s="4">
        <f t="shared" si="41"/>
        <v>1.6388630773417252E-2</v>
      </c>
      <c r="H433" s="4">
        <f t="shared" si="39"/>
        <v>-0.55099273470890697</v>
      </c>
      <c r="I433" s="4">
        <f t="shared" si="40"/>
        <v>-1.0707350300556726</v>
      </c>
    </row>
    <row r="434" spans="1:9" x14ac:dyDescent="0.25">
      <c r="A434" s="3">
        <v>40806</v>
      </c>
      <c r="B434" s="4" t="s">
        <v>0</v>
      </c>
      <c r="C434" s="4">
        <v>272.29483959999999</v>
      </c>
      <c r="D434" s="6">
        <f t="shared" si="36"/>
        <v>-7.3179285098164449E-5</v>
      </c>
      <c r="E434" s="4">
        <f t="shared" si="37"/>
        <v>8.9407737551654397E-3</v>
      </c>
      <c r="F434" s="6">
        <f t="shared" si="38"/>
        <v>-9.0139530402636048E-3</v>
      </c>
      <c r="G434" s="4">
        <f t="shared" si="41"/>
        <v>2.0559949280319678E-2</v>
      </c>
      <c r="H434" s="4">
        <f t="shared" si="39"/>
        <v>-0.43842292202986655</v>
      </c>
      <c r="I434" s="4">
        <f t="shared" si="40"/>
        <v>-1.0150458624852761</v>
      </c>
    </row>
    <row r="435" spans="1:9" x14ac:dyDescent="0.25">
      <c r="A435" s="3">
        <v>40807</v>
      </c>
      <c r="B435" s="4" t="s">
        <v>0</v>
      </c>
      <c r="C435" s="4">
        <v>268.59372230000002</v>
      </c>
      <c r="D435" s="6">
        <f t="shared" si="36"/>
        <v>-1.359231524709352E-2</v>
      </c>
      <c r="E435" s="4">
        <f t="shared" si="37"/>
        <v>2.3185810941568543E-3</v>
      </c>
      <c r="F435" s="6">
        <f t="shared" si="38"/>
        <v>-1.5910896341250376E-2</v>
      </c>
      <c r="G435" s="4">
        <f t="shared" si="41"/>
        <v>1.7707178608862267E-2</v>
      </c>
      <c r="H435" s="4">
        <f t="shared" si="39"/>
        <v>-0.89855626877153261</v>
      </c>
      <c r="I435" s="4">
        <f t="shared" si="40"/>
        <v>-1.3226402172789822</v>
      </c>
    </row>
    <row r="436" spans="1:9" x14ac:dyDescent="0.25">
      <c r="A436" s="3">
        <v>40808</v>
      </c>
      <c r="B436" s="4" t="s">
        <v>0</v>
      </c>
      <c r="C436" s="4">
        <v>259.35829389999998</v>
      </c>
      <c r="D436" s="6">
        <f t="shared" si="36"/>
        <v>-3.4384379206319392E-2</v>
      </c>
      <c r="E436" s="4">
        <f t="shared" si="37"/>
        <v>-3.3841004399524829E-5</v>
      </c>
      <c r="F436" s="6">
        <f t="shared" si="38"/>
        <v>-3.435053820191987E-2</v>
      </c>
      <c r="G436" s="4">
        <f t="shared" si="41"/>
        <v>3.2010402291130079E-2</v>
      </c>
      <c r="H436" s="4">
        <f t="shared" si="39"/>
        <v>-1.0731054826961119</v>
      </c>
      <c r="I436" s="4">
        <f t="shared" si="40"/>
        <v>-1.4947162217009005</v>
      </c>
    </row>
    <row r="437" spans="1:9" x14ac:dyDescent="0.25">
      <c r="A437" s="3">
        <v>40809</v>
      </c>
      <c r="B437" s="4" t="s">
        <v>0</v>
      </c>
      <c r="C437" s="4">
        <v>261.7742523</v>
      </c>
      <c r="D437" s="6">
        <f t="shared" si="36"/>
        <v>9.3151383889482874E-3</v>
      </c>
      <c r="E437" s="4">
        <f t="shared" si="37"/>
        <v>-5.2191586431463745E-3</v>
      </c>
      <c r="F437" s="6">
        <f t="shared" si="38"/>
        <v>1.4534297032094662E-2</v>
      </c>
      <c r="G437" s="4">
        <f t="shared" si="41"/>
        <v>3.9179228575330467E-2</v>
      </c>
      <c r="H437" s="4">
        <f t="shared" si="39"/>
        <v>0.37096945398374448</v>
      </c>
      <c r="I437" s="4">
        <f t="shared" si="40"/>
        <v>-0.98774770109917143</v>
      </c>
    </row>
    <row r="438" spans="1:9" x14ac:dyDescent="0.25">
      <c r="A438" s="3">
        <v>40812</v>
      </c>
      <c r="B438" s="4" t="s">
        <v>0</v>
      </c>
      <c r="C438" s="4">
        <v>264.9523585</v>
      </c>
      <c r="D438" s="6">
        <f t="shared" si="36"/>
        <v>1.2140637102681172E-2</v>
      </c>
      <c r="E438" s="4">
        <f t="shared" si="37"/>
        <v>-1.7306923875669351E-2</v>
      </c>
      <c r="F438" s="6">
        <f t="shared" si="38"/>
        <v>2.9447560978350523E-2</v>
      </c>
      <c r="G438" s="4">
        <f t="shared" si="41"/>
        <v>2.0275867260051473E-2</v>
      </c>
      <c r="H438" s="4">
        <f t="shared" si="39"/>
        <v>1.4523453226767558</v>
      </c>
      <c r="I438" s="4">
        <f t="shared" si="40"/>
        <v>-1.9735920013551975</v>
      </c>
    </row>
    <row r="439" spans="1:9" x14ac:dyDescent="0.25">
      <c r="A439" s="3">
        <v>40813</v>
      </c>
      <c r="B439" s="4" t="s">
        <v>0</v>
      </c>
      <c r="C439" s="4">
        <v>268.66345489999998</v>
      </c>
      <c r="D439" s="6">
        <f t="shared" si="36"/>
        <v>1.4006655464438803E-2</v>
      </c>
      <c r="E439" s="4">
        <f t="shared" si="37"/>
        <v>-6.9690655683705147E-3</v>
      </c>
      <c r="F439" s="6">
        <f t="shared" si="38"/>
        <v>2.0975721032809317E-2</v>
      </c>
      <c r="G439" s="4">
        <f t="shared" si="41"/>
        <v>5.0768820358681847E-2</v>
      </c>
      <c r="H439" s="4">
        <f t="shared" si="39"/>
        <v>0.4131614814883583</v>
      </c>
      <c r="I439" s="4">
        <f t="shared" si="40"/>
        <v>-1.0042897380975002</v>
      </c>
    </row>
    <row r="440" spans="1:9" x14ac:dyDescent="0.25">
      <c r="A440" s="3">
        <v>40814</v>
      </c>
      <c r="B440" s="4" t="s">
        <v>0</v>
      </c>
      <c r="C440" s="4">
        <v>263.43303830000002</v>
      </c>
      <c r="D440" s="6">
        <f t="shared" si="36"/>
        <v>-1.9468284593998034E-2</v>
      </c>
      <c r="E440" s="4">
        <f t="shared" si="37"/>
        <v>7.4941751210272009E-3</v>
      </c>
      <c r="F440" s="6">
        <f t="shared" si="38"/>
        <v>-2.6962459715025235E-2</v>
      </c>
      <c r="G440" s="4">
        <f t="shared" si="41"/>
        <v>2.4538151072654075E-2</v>
      </c>
      <c r="H440" s="4">
        <f t="shared" si="39"/>
        <v>-1.0987975269690498</v>
      </c>
      <c r="I440" s="4">
        <f t="shared" si="40"/>
        <v>-1.5226165358413226</v>
      </c>
    </row>
    <row r="441" spans="1:9" x14ac:dyDescent="0.25">
      <c r="A441" s="3">
        <v>40815</v>
      </c>
      <c r="B441" s="4" t="s">
        <v>0</v>
      </c>
      <c r="C441" s="4">
        <v>262.76555669999999</v>
      </c>
      <c r="D441" s="6">
        <f t="shared" si="36"/>
        <v>-2.5337808966842505E-3</v>
      </c>
      <c r="E441" s="4">
        <f t="shared" si="37"/>
        <v>9.0721608876193835E-3</v>
      </c>
      <c r="F441" s="6">
        <f t="shared" si="38"/>
        <v>-1.1605941784303634E-2</v>
      </c>
      <c r="G441" s="4">
        <f t="shared" si="41"/>
        <v>3.9234962767058554E-2</v>
      </c>
      <c r="H441" s="4">
        <f t="shared" si="39"/>
        <v>-0.29580611183981842</v>
      </c>
      <c r="I441" s="4">
        <f t="shared" si="40"/>
        <v>-0.96268916110556824</v>
      </c>
    </row>
    <row r="442" spans="1:9" x14ac:dyDescent="0.25">
      <c r="A442" s="3">
        <v>40816</v>
      </c>
      <c r="B442" s="4" t="s">
        <v>0</v>
      </c>
      <c r="C442" s="4">
        <v>256.55878969999998</v>
      </c>
      <c r="D442" s="6">
        <f t="shared" si="36"/>
        <v>-2.362093068037183E-2</v>
      </c>
      <c r="E442" s="4">
        <f t="shared" si="37"/>
        <v>-3.1528020506813963E-3</v>
      </c>
      <c r="F442" s="6">
        <f t="shared" si="38"/>
        <v>-2.0468128629690434E-2</v>
      </c>
      <c r="G442" s="4">
        <f t="shared" si="41"/>
        <v>1.8775497258072222E-2</v>
      </c>
      <c r="H442" s="4">
        <f t="shared" si="39"/>
        <v>-1.0901510808663399</v>
      </c>
      <c r="I442" s="4">
        <f t="shared" si="40"/>
        <v>-1.5131532227616973</v>
      </c>
    </row>
    <row r="443" spans="1:9" x14ac:dyDescent="0.25">
      <c r="A443" s="3">
        <v>40819</v>
      </c>
      <c r="B443" s="4" t="s">
        <v>0</v>
      </c>
      <c r="C443" s="4">
        <v>246.83523149999999</v>
      </c>
      <c r="D443" s="6">
        <f t="shared" si="36"/>
        <v>-3.7899922319441726E-2</v>
      </c>
      <c r="E443" s="4">
        <f t="shared" si="37"/>
        <v>-6.9312894228406195E-3</v>
      </c>
      <c r="F443" s="6">
        <f t="shared" si="38"/>
        <v>-3.0968632896601105E-2</v>
      </c>
      <c r="G443" s="4">
        <f t="shared" si="41"/>
        <v>3.8479110604811496E-2</v>
      </c>
      <c r="H443" s="4">
        <f t="shared" si="39"/>
        <v>-0.80481675407353959</v>
      </c>
      <c r="I443" s="4">
        <f t="shared" si="40"/>
        <v>-1.242803537023407</v>
      </c>
    </row>
    <row r="444" spans="1:9" x14ac:dyDescent="0.25">
      <c r="A444" s="3">
        <v>40820</v>
      </c>
      <c r="B444" s="4" t="s">
        <v>0</v>
      </c>
      <c r="C444" s="4">
        <v>250.0133222</v>
      </c>
      <c r="D444" s="6">
        <f t="shared" si="36"/>
        <v>1.2875352844433851E-2</v>
      </c>
      <c r="E444" s="4">
        <f t="shared" si="37"/>
        <v>-9.8065248987946746E-3</v>
      </c>
      <c r="F444" s="6">
        <f t="shared" si="38"/>
        <v>2.2681877743228523E-2</v>
      </c>
      <c r="G444" s="4">
        <f t="shared" si="41"/>
        <v>3.1718097575056808E-2</v>
      </c>
      <c r="H444" s="4">
        <f t="shared" si="39"/>
        <v>0.71510839165415796</v>
      </c>
      <c r="I444" s="4">
        <f t="shared" si="40"/>
        <v>-1.174628539111771</v>
      </c>
    </row>
    <row r="445" spans="1:9" x14ac:dyDescent="0.25">
      <c r="A445" s="3">
        <v>40821</v>
      </c>
      <c r="B445" s="4" t="s">
        <v>0</v>
      </c>
      <c r="C445" s="4">
        <v>251.40810020000001</v>
      </c>
      <c r="D445" s="6">
        <f t="shared" si="36"/>
        <v>5.5788147116586024E-3</v>
      </c>
      <c r="E445" s="4">
        <f t="shared" si="37"/>
        <v>-2.1722057401223821E-2</v>
      </c>
      <c r="F445" s="6">
        <f t="shared" si="38"/>
        <v>2.7300872112882422E-2</v>
      </c>
      <c r="G445" s="4">
        <f t="shared" si="41"/>
        <v>2.7852077347902376E-2</v>
      </c>
      <c r="H445" s="4">
        <f t="shared" si="39"/>
        <v>0.98020954673740102</v>
      </c>
      <c r="I445" s="4">
        <f t="shared" si="40"/>
        <v>-1.3993439109622434</v>
      </c>
    </row>
    <row r="446" spans="1:9" x14ac:dyDescent="0.25">
      <c r="A446" s="3">
        <v>40822</v>
      </c>
      <c r="B446" s="4" t="s">
        <v>0</v>
      </c>
      <c r="C446" s="4">
        <v>256.39442179999998</v>
      </c>
      <c r="D446" s="6">
        <f t="shared" si="36"/>
        <v>1.9833575752067067E-2</v>
      </c>
      <c r="E446" s="4">
        <f t="shared" si="37"/>
        <v>-6.6848436657775279E-3</v>
      </c>
      <c r="F446" s="6">
        <f t="shared" si="38"/>
        <v>2.6518419417844594E-2</v>
      </c>
      <c r="G446" s="4">
        <f t="shared" si="41"/>
        <v>3.5683544092328295E-2</v>
      </c>
      <c r="H446" s="4">
        <f t="shared" si="39"/>
        <v>0.7431554261883383</v>
      </c>
      <c r="I446" s="4">
        <f t="shared" si="40"/>
        <v>-1.195078526941258</v>
      </c>
    </row>
    <row r="447" spans="1:9" x14ac:dyDescent="0.25">
      <c r="A447" s="3">
        <v>40823</v>
      </c>
      <c r="B447" s="4" t="s">
        <v>0</v>
      </c>
      <c r="C447" s="4">
        <v>256.59864579999999</v>
      </c>
      <c r="D447" s="6">
        <f t="shared" si="36"/>
        <v>7.9652278924896114E-4</v>
      </c>
      <c r="E447" s="4">
        <f t="shared" si="37"/>
        <v>6.0761668857201865E-3</v>
      </c>
      <c r="F447" s="6">
        <f t="shared" si="38"/>
        <v>-5.2796440964712251E-3</v>
      </c>
      <c r="G447" s="4">
        <f t="shared" si="41"/>
        <v>2.9377244319998719E-2</v>
      </c>
      <c r="H447" s="4">
        <f t="shared" si="39"/>
        <v>-0.17971883403907557</v>
      </c>
      <c r="I447" s="4">
        <f t="shared" si="40"/>
        <v>-0.93508796285885509</v>
      </c>
    </row>
    <row r="448" spans="1:9" x14ac:dyDescent="0.25">
      <c r="A448" s="3">
        <v>40826</v>
      </c>
      <c r="B448" s="4" t="s">
        <v>0</v>
      </c>
      <c r="C448" s="4">
        <v>267.58249009999997</v>
      </c>
      <c r="D448" s="6">
        <f t="shared" si="36"/>
        <v>4.2805542740709149E-2</v>
      </c>
      <c r="E448" s="4">
        <f t="shared" si="37"/>
        <v>9.2905040901289475E-3</v>
      </c>
      <c r="F448" s="6">
        <f t="shared" si="38"/>
        <v>3.3515038650580198E-2</v>
      </c>
      <c r="G448" s="4">
        <f t="shared" si="41"/>
        <v>1.3737519731682826E-2</v>
      </c>
      <c r="H448" s="4">
        <f t="shared" si="39"/>
        <v>2.439671738798999</v>
      </c>
      <c r="I448" s="4">
        <f t="shared" si="40"/>
        <v>-3.8949376297519382</v>
      </c>
    </row>
    <row r="449" spans="1:9" x14ac:dyDescent="0.25">
      <c r="A449" s="3">
        <v>40827</v>
      </c>
      <c r="B449" s="4" t="s">
        <v>0</v>
      </c>
      <c r="C449" s="4">
        <v>270.57626970000001</v>
      </c>
      <c r="D449" s="6">
        <f t="shared" si="36"/>
        <v>1.1188249271771162E-2</v>
      </c>
      <c r="E449" s="4">
        <f t="shared" si="37"/>
        <v>6.3794266735789709E-3</v>
      </c>
      <c r="F449" s="6">
        <f t="shared" si="38"/>
        <v>4.808822598192191E-3</v>
      </c>
      <c r="G449" s="4">
        <f t="shared" si="41"/>
        <v>8.4180505702068475E-2</v>
      </c>
      <c r="H449" s="4">
        <f t="shared" si="39"/>
        <v>5.7125133165766062E-2</v>
      </c>
      <c r="I449" s="4">
        <f t="shared" si="40"/>
        <v>-0.92057017362427596</v>
      </c>
    </row>
    <row r="450" spans="1:9" x14ac:dyDescent="0.25">
      <c r="A450" s="3">
        <v>40828</v>
      </c>
      <c r="B450" s="4" t="s">
        <v>0</v>
      </c>
      <c r="C450" s="4">
        <v>273.2263595</v>
      </c>
      <c r="D450" s="6">
        <f t="shared" si="36"/>
        <v>9.7942432384712161E-3</v>
      </c>
      <c r="E450" s="4">
        <f t="shared" si="37"/>
        <v>1.6607830004187731E-2</v>
      </c>
      <c r="F450" s="6">
        <f t="shared" si="38"/>
        <v>-6.8135867657165144E-3</v>
      </c>
      <c r="G450" s="4">
        <f t="shared" si="41"/>
        <v>3.2577487358523664E-2</v>
      </c>
      <c r="H450" s="4">
        <f t="shared" si="39"/>
        <v>-0.20915016221881177</v>
      </c>
      <c r="I450" s="4">
        <f t="shared" si="40"/>
        <v>-0.94081042838275031</v>
      </c>
    </row>
    <row r="451" spans="1:9" x14ac:dyDescent="0.25">
      <c r="A451" s="3">
        <v>40829</v>
      </c>
      <c r="B451" s="4" t="s">
        <v>0</v>
      </c>
      <c r="C451" s="4">
        <v>278.45177139999998</v>
      </c>
      <c r="D451" s="6">
        <f t="shared" si="36"/>
        <v>1.9124845456208565E-2</v>
      </c>
      <c r="E451" s="4">
        <f t="shared" si="37"/>
        <v>1.73865232153128E-2</v>
      </c>
      <c r="F451" s="6">
        <f t="shared" si="38"/>
        <v>1.7383222408957656E-3</v>
      </c>
      <c r="G451" s="4">
        <f t="shared" si="41"/>
        <v>1.5203214651791018E-2</v>
      </c>
      <c r="H451" s="4">
        <f t="shared" si="39"/>
        <v>0.11433912371229871</v>
      </c>
      <c r="I451" s="4">
        <f t="shared" si="40"/>
        <v>-0.92547525081032089</v>
      </c>
    </row>
    <row r="452" spans="1:9" x14ac:dyDescent="0.25">
      <c r="A452" s="3">
        <v>40830</v>
      </c>
      <c r="B452" s="4" t="s">
        <v>0</v>
      </c>
      <c r="C452" s="4">
        <v>294.73576550000001</v>
      </c>
      <c r="D452" s="6">
        <f t="shared" ref="D452:D515" si="42">(C452-C451)/C451</f>
        <v>5.8480483058618568E-2</v>
      </c>
      <c r="E452" s="4">
        <f t="shared" si="37"/>
        <v>7.1709442272673207E-3</v>
      </c>
      <c r="F452" s="6">
        <f t="shared" si="38"/>
        <v>5.1309538831351247E-2</v>
      </c>
      <c r="G452" s="4">
        <f t="shared" si="41"/>
        <v>8.5975725642298551E-3</v>
      </c>
      <c r="H452" s="4">
        <f t="shared" si="39"/>
        <v>5.9679099476082644</v>
      </c>
      <c r="I452" s="4">
        <f t="shared" si="40"/>
        <v>-18.726913104585513</v>
      </c>
    </row>
    <row r="453" spans="1:9" x14ac:dyDescent="0.25">
      <c r="A453" s="3">
        <v>40833</v>
      </c>
      <c r="B453" s="4" t="s">
        <v>0</v>
      </c>
      <c r="C453" s="4">
        <v>290.11805129999999</v>
      </c>
      <c r="D453" s="6">
        <f t="shared" si="42"/>
        <v>-1.566730183615949E-2</v>
      </c>
      <c r="E453" s="4">
        <f t="shared" si="37"/>
        <v>1.0311709226061979E-2</v>
      </c>
      <c r="F453" s="6">
        <f t="shared" si="38"/>
        <v>-2.5979011062221467E-2</v>
      </c>
      <c r="G453" s="4">
        <f t="shared" si="41"/>
        <v>0.20524736857754178</v>
      </c>
      <c r="H453" s="4">
        <f t="shared" si="39"/>
        <v>-0.12657414924375357</v>
      </c>
      <c r="I453" s="4">
        <f t="shared" si="40"/>
        <v>-0.92694904083306262</v>
      </c>
    </row>
    <row r="454" spans="1:9" x14ac:dyDescent="0.25">
      <c r="A454" s="3">
        <v>40834</v>
      </c>
      <c r="B454" s="4" t="s">
        <v>0</v>
      </c>
      <c r="C454" s="4">
        <v>294.15293960000002</v>
      </c>
      <c r="D454" s="6">
        <f t="shared" si="42"/>
        <v>1.3907746456726714E-2</v>
      </c>
      <c r="E454" s="4">
        <f t="shared" si="37"/>
        <v>2.8212586165301104E-2</v>
      </c>
      <c r="F454" s="6">
        <f t="shared" si="38"/>
        <v>-1.430483970857439E-2</v>
      </c>
      <c r="G454" s="4">
        <f t="shared" si="41"/>
        <v>7.8629172565424996E-2</v>
      </c>
      <c r="H454" s="4">
        <f t="shared" si="39"/>
        <v>-0.18192789319602415</v>
      </c>
      <c r="I454" s="4">
        <f t="shared" si="40"/>
        <v>-0.93548741236604471</v>
      </c>
    </row>
    <row r="455" spans="1:9" x14ac:dyDescent="0.25">
      <c r="A455" s="3">
        <v>40835</v>
      </c>
      <c r="B455" s="4" t="s">
        <v>0</v>
      </c>
      <c r="C455" s="4">
        <v>289.2662431</v>
      </c>
      <c r="D455" s="6">
        <f t="shared" si="42"/>
        <v>-1.6612774656085835E-2</v>
      </c>
      <c r="E455" s="4">
        <f t="shared" ref="E455:E518" si="43">+$M$16*D454+$M$17*D453+$M$18*D452</f>
        <v>1.1920771577756815E-2</v>
      </c>
      <c r="F455" s="6">
        <f t="shared" ref="F455:F518" si="44">D455-E455</f>
        <v>-2.853354623384265E-2</v>
      </c>
      <c r="G455" s="4">
        <f t="shared" si="41"/>
        <v>3.1061944671996387E-2</v>
      </c>
      <c r="H455" s="4">
        <f t="shared" ref="H455:H518" si="45">F455/G455</f>
        <v>-0.91860141195753298</v>
      </c>
      <c r="I455" s="4">
        <f t="shared" ref="I455:I518" si="46">LN(_xlfn.NORM.DIST(H455,0,1,FALSE))</f>
        <v>-1.3408528102298594</v>
      </c>
    </row>
    <row r="456" spans="1:9" x14ac:dyDescent="0.25">
      <c r="A456" s="3">
        <v>40836</v>
      </c>
      <c r="B456" s="4" t="s">
        <v>0</v>
      </c>
      <c r="C456" s="4">
        <v>290.74570720000003</v>
      </c>
      <c r="D456" s="6">
        <f t="shared" si="42"/>
        <v>5.1145411374135885E-3</v>
      </c>
      <c r="E456" s="4">
        <f t="shared" si="43"/>
        <v>5.1816432558487828E-4</v>
      </c>
      <c r="F456" s="6">
        <f t="shared" si="44"/>
        <v>4.5963768118287103E-3</v>
      </c>
      <c r="G456" s="4">
        <f t="shared" ref="G456:G519" si="47">SQRT($M$12 + $M$13 *H455^2+$M$14*G455^2)</f>
        <v>3.4097258281262151E-2</v>
      </c>
      <c r="H456" s="4">
        <f t="shared" si="45"/>
        <v>0.1348019472391013</v>
      </c>
      <c r="I456" s="4">
        <f t="shared" si="46"/>
        <v>-0.92802431569439947</v>
      </c>
    </row>
    <row r="457" spans="1:9" x14ac:dyDescent="0.25">
      <c r="A457" s="3">
        <v>40837</v>
      </c>
      <c r="B457" s="4" t="s">
        <v>0</v>
      </c>
      <c r="C457" s="4">
        <v>294.14299089999997</v>
      </c>
      <c r="D457" s="6">
        <f t="shared" si="42"/>
        <v>1.1684725228506988E-2</v>
      </c>
      <c r="E457" s="4">
        <f t="shared" si="43"/>
        <v>-2.0913380817644709E-3</v>
      </c>
      <c r="F457" s="6">
        <f t="shared" si="44"/>
        <v>1.3776063310271459E-2</v>
      </c>
      <c r="G457" s="4">
        <f t="shared" si="47"/>
        <v>1.4686140258021018E-2</v>
      </c>
      <c r="H457" s="4">
        <f t="shared" si="45"/>
        <v>0.93803157727214892</v>
      </c>
      <c r="I457" s="4">
        <f t="shared" si="46"/>
        <v>-1.3588901531845103</v>
      </c>
    </row>
    <row r="458" spans="1:9" x14ac:dyDescent="0.25">
      <c r="A458" s="3">
        <v>40840</v>
      </c>
      <c r="B458" s="4" t="s">
        <v>0</v>
      </c>
      <c r="C458" s="4">
        <v>297.09691429999998</v>
      </c>
      <c r="D458" s="6">
        <f t="shared" si="42"/>
        <v>1.0042474209437326E-2</v>
      </c>
      <c r="E458" s="4">
        <f t="shared" si="43"/>
        <v>-3.1322825093519518E-3</v>
      </c>
      <c r="F458" s="6">
        <f t="shared" si="44"/>
        <v>1.3174756718789277E-2</v>
      </c>
      <c r="G458" s="4">
        <f t="shared" si="47"/>
        <v>3.3107181405489974E-2</v>
      </c>
      <c r="H458" s="4">
        <f t="shared" si="45"/>
        <v>0.39794256591727206</v>
      </c>
      <c r="I458" s="4">
        <f t="shared" si="46"/>
        <v>-0.99811767608908386</v>
      </c>
    </row>
    <row r="459" spans="1:9" x14ac:dyDescent="0.25">
      <c r="A459" s="3">
        <v>40841</v>
      </c>
      <c r="B459" s="4" t="s">
        <v>0</v>
      </c>
      <c r="C459" s="4">
        <v>290.49167840000001</v>
      </c>
      <c r="D459" s="6">
        <f t="shared" si="42"/>
        <v>-2.22325967792792E-2</v>
      </c>
      <c r="E459" s="4">
        <f t="shared" si="43"/>
        <v>6.0333680019506774E-3</v>
      </c>
      <c r="F459" s="6">
        <f t="shared" si="44"/>
        <v>-2.8265964781229877E-2</v>
      </c>
      <c r="G459" s="4">
        <f t="shared" si="47"/>
        <v>1.9278466400390361E-2</v>
      </c>
      <c r="H459" s="4">
        <f t="shared" si="45"/>
        <v>-1.4661936377188971</v>
      </c>
      <c r="I459" s="4">
        <f t="shared" si="46"/>
        <v>-1.993800424848359</v>
      </c>
    </row>
    <row r="460" spans="1:9" x14ac:dyDescent="0.25">
      <c r="A460" s="3">
        <v>40842</v>
      </c>
      <c r="B460" s="4" t="s">
        <v>0</v>
      </c>
      <c r="C460" s="4">
        <v>292.06077299999998</v>
      </c>
      <c r="D460" s="6">
        <f t="shared" si="42"/>
        <v>5.4015130782485475E-3</v>
      </c>
      <c r="E460" s="4">
        <f t="shared" si="43"/>
        <v>7.4170574739260905E-3</v>
      </c>
      <c r="F460" s="6">
        <f t="shared" si="44"/>
        <v>-2.015544395677543E-3</v>
      </c>
      <c r="G460" s="4">
        <f t="shared" si="47"/>
        <v>5.1180941015063826E-2</v>
      </c>
      <c r="H460" s="4">
        <f t="shared" si="45"/>
        <v>-3.9380760800867616E-2</v>
      </c>
      <c r="I460" s="4">
        <f t="shared" si="46"/>
        <v>-0.91971395536530032</v>
      </c>
    </row>
    <row r="461" spans="1:9" x14ac:dyDescent="0.25">
      <c r="A461" s="3">
        <v>40843</v>
      </c>
      <c r="B461" s="4" t="s">
        <v>0</v>
      </c>
      <c r="C461" s="4">
        <v>298.21770479999998</v>
      </c>
      <c r="D461" s="6">
        <f t="shared" si="42"/>
        <v>2.1080995358455739E-2</v>
      </c>
      <c r="E461" s="4">
        <f t="shared" si="43"/>
        <v>-5.4234217206213468E-3</v>
      </c>
      <c r="F461" s="6">
        <f t="shared" si="44"/>
        <v>2.6504417079077087E-2</v>
      </c>
      <c r="G461" s="4">
        <f t="shared" si="47"/>
        <v>2.0207429965520149E-2</v>
      </c>
      <c r="H461" s="4">
        <f t="shared" si="45"/>
        <v>1.3116174161831298</v>
      </c>
      <c r="I461" s="4">
        <f t="shared" si="46"/>
        <v>-1.7791086564221275</v>
      </c>
    </row>
    <row r="462" spans="1:9" x14ac:dyDescent="0.25">
      <c r="A462" s="3">
        <v>40844</v>
      </c>
      <c r="B462" s="4" t="s">
        <v>0</v>
      </c>
      <c r="C462" s="4">
        <v>298.94997560000002</v>
      </c>
      <c r="D462" s="6">
        <f t="shared" si="42"/>
        <v>2.4554906976134625E-3</v>
      </c>
      <c r="E462" s="4">
        <f t="shared" si="43"/>
        <v>-4.7434741306935126E-3</v>
      </c>
      <c r="F462" s="6">
        <f t="shared" si="44"/>
        <v>7.1989648283069755E-3</v>
      </c>
      <c r="G462" s="4">
        <f t="shared" si="47"/>
        <v>4.6015090907731294E-2</v>
      </c>
      <c r="H462" s="4">
        <f t="shared" si="45"/>
        <v>0.15644791059398799</v>
      </c>
      <c r="I462" s="4">
        <f t="shared" si="46"/>
        <v>-0.93117650756928483</v>
      </c>
    </row>
    <row r="463" spans="1:9" x14ac:dyDescent="0.25">
      <c r="A463" s="3">
        <v>40847</v>
      </c>
      <c r="B463" s="4" t="s">
        <v>0</v>
      </c>
      <c r="C463" s="4">
        <v>295.2139765</v>
      </c>
      <c r="D463" s="6">
        <f t="shared" si="42"/>
        <v>-1.2497071098606956E-2</v>
      </c>
      <c r="E463" s="4">
        <f t="shared" si="43"/>
        <v>9.713100842944444E-3</v>
      </c>
      <c r="F463" s="6">
        <f t="shared" si="44"/>
        <v>-2.22101719415514E-2</v>
      </c>
      <c r="G463" s="4">
        <f t="shared" si="47"/>
        <v>1.9033266070822306E-2</v>
      </c>
      <c r="H463" s="4">
        <f t="shared" si="45"/>
        <v>-1.166913332630769</v>
      </c>
      <c r="I463" s="4">
        <f t="shared" si="46"/>
        <v>-1.5997818961403967</v>
      </c>
    </row>
    <row r="464" spans="1:9" x14ac:dyDescent="0.25">
      <c r="A464" s="3">
        <v>40848</v>
      </c>
      <c r="B464" s="4" t="s">
        <v>0</v>
      </c>
      <c r="C464" s="4">
        <v>288.24509260000002</v>
      </c>
      <c r="D464" s="6">
        <f t="shared" si="42"/>
        <v>-2.3606212627944396E-2</v>
      </c>
      <c r="E464" s="4">
        <f t="shared" si="43"/>
        <v>7.3945345808679045E-3</v>
      </c>
      <c r="F464" s="6">
        <f t="shared" si="44"/>
        <v>-3.1000747208812299E-2</v>
      </c>
      <c r="G464" s="4">
        <f t="shared" si="47"/>
        <v>4.1070886017074357E-2</v>
      </c>
      <c r="H464" s="4">
        <f t="shared" si="45"/>
        <v>-0.75481077267055774</v>
      </c>
      <c r="I464" s="4">
        <f t="shared" si="46"/>
        <v>-1.2038081844744348</v>
      </c>
    </row>
    <row r="465" spans="1:9" x14ac:dyDescent="0.25">
      <c r="A465" s="3">
        <v>40849</v>
      </c>
      <c r="B465" s="4" t="s">
        <v>0</v>
      </c>
      <c r="C465" s="4">
        <v>291.31855350000001</v>
      </c>
      <c r="D465" s="6">
        <f t="shared" si="42"/>
        <v>1.0662665137772361E-2</v>
      </c>
      <c r="E465" s="4">
        <f t="shared" si="43"/>
        <v>-4.0258432266307275E-3</v>
      </c>
      <c r="F465" s="6">
        <f t="shared" si="44"/>
        <v>1.4688508364403089E-2</v>
      </c>
      <c r="G465" s="4">
        <f t="shared" si="47"/>
        <v>3.0723167133113204E-2</v>
      </c>
      <c r="H465" s="4">
        <f t="shared" si="45"/>
        <v>0.47809225854752202</v>
      </c>
      <c r="I465" s="4">
        <f t="shared" si="46"/>
        <v>-1.0332246370462079</v>
      </c>
    </row>
    <row r="466" spans="1:9" x14ac:dyDescent="0.25">
      <c r="A466" s="3">
        <v>40850</v>
      </c>
      <c r="B466" s="4" t="s">
        <v>0</v>
      </c>
      <c r="C466" s="4">
        <v>297.6349098</v>
      </c>
      <c r="D466" s="6">
        <f t="shared" si="42"/>
        <v>2.1681956827373835E-2</v>
      </c>
      <c r="E466" s="4">
        <f t="shared" si="43"/>
        <v>-1.2851206899052791E-2</v>
      </c>
      <c r="F466" s="6">
        <f t="shared" si="44"/>
        <v>3.4533163726426626E-2</v>
      </c>
      <c r="G466" s="4">
        <f t="shared" si="47"/>
        <v>2.0795743224217924E-2</v>
      </c>
      <c r="H466" s="4">
        <f t="shared" si="45"/>
        <v>1.6605880998862608</v>
      </c>
      <c r="I466" s="4">
        <f t="shared" si="46"/>
        <v>-2.2977149519466038</v>
      </c>
    </row>
    <row r="467" spans="1:9" x14ac:dyDescent="0.25">
      <c r="A467" s="3">
        <v>40851</v>
      </c>
      <c r="B467" s="4" t="s">
        <v>0</v>
      </c>
      <c r="C467" s="4">
        <v>296.95744910000002</v>
      </c>
      <c r="D467" s="6">
        <f t="shared" si="42"/>
        <v>-2.2761466403763342E-3</v>
      </c>
      <c r="E467" s="4">
        <f t="shared" si="43"/>
        <v>-3.152905912671285E-3</v>
      </c>
      <c r="F467" s="6">
        <f t="shared" si="44"/>
        <v>8.7675927229495087E-4</v>
      </c>
      <c r="G467" s="4">
        <f t="shared" si="47"/>
        <v>5.7850510542599147E-2</v>
      </c>
      <c r="H467" s="4">
        <f t="shared" si="45"/>
        <v>1.5155601291527673E-2</v>
      </c>
      <c r="I467" s="4">
        <f t="shared" si="46"/>
        <v>-0.91905337932992659</v>
      </c>
    </row>
    <row r="468" spans="1:9" x14ac:dyDescent="0.25">
      <c r="A468" s="3">
        <v>40854</v>
      </c>
      <c r="B468" s="4" t="s">
        <v>0</v>
      </c>
      <c r="C468" s="4">
        <v>303.02969430000002</v>
      </c>
      <c r="D468" s="6">
        <f t="shared" si="42"/>
        <v>2.0448199627264366E-2</v>
      </c>
      <c r="E468" s="4">
        <f t="shared" si="43"/>
        <v>1.155398074599341E-2</v>
      </c>
      <c r="F468" s="6">
        <f t="shared" si="44"/>
        <v>8.8942188812709561E-3</v>
      </c>
      <c r="G468" s="4">
        <f t="shared" si="47"/>
        <v>2.2643942424341798E-2</v>
      </c>
      <c r="H468" s="4">
        <f t="shared" si="45"/>
        <v>0.3927857929770146</v>
      </c>
      <c r="I468" s="4">
        <f t="shared" si="46"/>
        <v>-0.99607887278696383</v>
      </c>
    </row>
    <row r="469" spans="1:9" x14ac:dyDescent="0.25">
      <c r="A469" s="3">
        <v>40855</v>
      </c>
      <c r="B469" s="4" t="s">
        <v>0</v>
      </c>
      <c r="C469" s="4">
        <v>305.02719519999999</v>
      </c>
      <c r="D469" s="6">
        <f t="shared" si="42"/>
        <v>6.5917662116058082E-3</v>
      </c>
      <c r="E469" s="4">
        <f t="shared" si="43"/>
        <v>5.7704326524283499E-3</v>
      </c>
      <c r="F469" s="6">
        <f t="shared" si="44"/>
        <v>8.2133355917745829E-4</v>
      </c>
      <c r="G469" s="4">
        <f t="shared" si="47"/>
        <v>1.6787920390866642E-2</v>
      </c>
      <c r="H469" s="4">
        <f t="shared" si="45"/>
        <v>4.8924079936922944E-2</v>
      </c>
      <c r="I469" s="4">
        <f t="shared" si="46"/>
        <v>-0.92013531600350995</v>
      </c>
    </row>
    <row r="470" spans="1:9" x14ac:dyDescent="0.25">
      <c r="A470" s="3">
        <v>40856</v>
      </c>
      <c r="B470" s="4" t="s">
        <v>0</v>
      </c>
      <c r="C470" s="4">
        <v>299.35347969999998</v>
      </c>
      <c r="D470" s="6">
        <f t="shared" si="42"/>
        <v>-1.860068737897248E-2</v>
      </c>
      <c r="E470" s="4">
        <f t="shared" si="43"/>
        <v>7.1199786395024995E-3</v>
      </c>
      <c r="F470" s="6">
        <f t="shared" si="44"/>
        <v>-2.5720666018474978E-2</v>
      </c>
      <c r="G470" s="4">
        <f t="shared" si="47"/>
        <v>8.2876095763314145E-3</v>
      </c>
      <c r="H470" s="4">
        <f t="shared" si="45"/>
        <v>-3.1035084099437591</v>
      </c>
      <c r="I470" s="4">
        <f t="shared" si="46"/>
        <v>-5.7348207585004918</v>
      </c>
    </row>
    <row r="471" spans="1:9" x14ac:dyDescent="0.25">
      <c r="A471" s="3">
        <v>40857</v>
      </c>
      <c r="B471" s="4" t="s">
        <v>0</v>
      </c>
      <c r="C471" s="4">
        <v>296.42943270000001</v>
      </c>
      <c r="D471" s="6">
        <f t="shared" si="42"/>
        <v>-9.7678737622503512E-3</v>
      </c>
      <c r="E471" s="4">
        <f t="shared" si="43"/>
        <v>8.7818295808686046E-3</v>
      </c>
      <c r="F471" s="6">
        <f t="shared" si="44"/>
        <v>-1.8549703343118958E-2</v>
      </c>
      <c r="G471" s="4">
        <f t="shared" si="47"/>
        <v>0.10685323094435034</v>
      </c>
      <c r="H471" s="4">
        <f t="shared" si="45"/>
        <v>-0.17359983576706003</v>
      </c>
      <c r="I471" s="4">
        <f t="shared" si="46"/>
        <v>-0.9340069846938478</v>
      </c>
    </row>
    <row r="472" spans="1:9" x14ac:dyDescent="0.25">
      <c r="A472" s="3">
        <v>40858</v>
      </c>
      <c r="B472" s="4" t="s">
        <v>0</v>
      </c>
      <c r="C472" s="4">
        <v>303.03964300000001</v>
      </c>
      <c r="D472" s="6">
        <f t="shared" si="42"/>
        <v>2.2299439835617933E-2</v>
      </c>
      <c r="E472" s="4">
        <f t="shared" si="43"/>
        <v>-5.0921085856551716E-3</v>
      </c>
      <c r="F472" s="6">
        <f t="shared" si="44"/>
        <v>2.7391548421273105E-2</v>
      </c>
      <c r="G472" s="4">
        <f t="shared" si="47"/>
        <v>4.1523710561681255E-2</v>
      </c>
      <c r="H472" s="4">
        <f t="shared" si="45"/>
        <v>0.65966042173866957</v>
      </c>
      <c r="I472" s="4">
        <f t="shared" si="46"/>
        <v>-1.1365144692088924</v>
      </c>
    </row>
    <row r="473" spans="1:9" x14ac:dyDescent="0.25">
      <c r="A473" s="3">
        <v>40861</v>
      </c>
      <c r="B473" s="4" t="s">
        <v>0</v>
      </c>
      <c r="C473" s="4">
        <v>305.35596190000001</v>
      </c>
      <c r="D473" s="6">
        <f t="shared" si="42"/>
        <v>7.6436167792079887E-3</v>
      </c>
      <c r="E473" s="4">
        <f t="shared" si="43"/>
        <v>-9.4301108005936905E-3</v>
      </c>
      <c r="F473" s="6">
        <f t="shared" si="44"/>
        <v>1.7073727579801679E-2</v>
      </c>
      <c r="G473" s="4">
        <f t="shared" si="47"/>
        <v>2.8112413273045787E-2</v>
      </c>
      <c r="H473" s="4">
        <f t="shared" si="45"/>
        <v>0.60733767015911044</v>
      </c>
      <c r="I473" s="4">
        <f t="shared" si="46"/>
        <v>-1.1033680560018209</v>
      </c>
    </row>
    <row r="474" spans="1:9" x14ac:dyDescent="0.25">
      <c r="A474" s="3">
        <v>40862</v>
      </c>
      <c r="B474" s="4" t="s">
        <v>0</v>
      </c>
      <c r="C474" s="4">
        <v>307.12934130000002</v>
      </c>
      <c r="D474" s="6">
        <f t="shared" si="42"/>
        <v>5.8075807296035968E-3</v>
      </c>
      <c r="E474" s="4">
        <f t="shared" si="43"/>
        <v>5.5333323306966959E-3</v>
      </c>
      <c r="F474" s="6">
        <f t="shared" si="44"/>
        <v>2.7424839890690094E-4</v>
      </c>
      <c r="G474" s="4">
        <f t="shared" si="47"/>
        <v>2.3997291173447247E-2</v>
      </c>
      <c r="H474" s="4">
        <f t="shared" si="45"/>
        <v>1.1428306508626021E-2</v>
      </c>
      <c r="I474" s="4">
        <f t="shared" si="46"/>
        <v>-0.91900383629950022</v>
      </c>
    </row>
    <row r="475" spans="1:9" x14ac:dyDescent="0.25">
      <c r="A475" s="3">
        <v>40863</v>
      </c>
      <c r="B475" s="4" t="s">
        <v>0</v>
      </c>
      <c r="C475" s="4">
        <v>304.59384499999999</v>
      </c>
      <c r="D475" s="6">
        <f t="shared" si="42"/>
        <v>-8.2554675149822086E-3</v>
      </c>
      <c r="E475" s="4">
        <f t="shared" si="43"/>
        <v>9.7513647702329766E-3</v>
      </c>
      <c r="F475" s="6">
        <f t="shared" si="44"/>
        <v>-1.8006832285215185E-2</v>
      </c>
      <c r="G475" s="4">
        <f t="shared" si="47"/>
        <v>1.043350767687354E-2</v>
      </c>
      <c r="H475" s="4">
        <f t="shared" si="45"/>
        <v>-1.7258656285966365</v>
      </c>
      <c r="I475" s="4">
        <f t="shared" si="46"/>
        <v>-2.4082446171903045</v>
      </c>
    </row>
    <row r="476" spans="1:9" x14ac:dyDescent="0.25">
      <c r="A476" s="3">
        <v>40864</v>
      </c>
      <c r="B476" s="4" t="s">
        <v>0</v>
      </c>
      <c r="C476" s="4">
        <v>299.31362360000003</v>
      </c>
      <c r="D476" s="6">
        <f t="shared" si="42"/>
        <v>-1.7335285944467985E-2</v>
      </c>
      <c r="E476" s="4">
        <f t="shared" si="43"/>
        <v>4.5608268519765904E-3</v>
      </c>
      <c r="F476" s="6">
        <f t="shared" si="44"/>
        <v>-2.1896112796444576E-2</v>
      </c>
      <c r="G476" s="4">
        <f t="shared" si="47"/>
        <v>5.9672209300339223E-2</v>
      </c>
      <c r="H476" s="4">
        <f t="shared" si="45"/>
        <v>-0.36693987122612037</v>
      </c>
      <c r="I476" s="4">
        <f t="shared" si="46"/>
        <v>-0.98626096775239347</v>
      </c>
    </row>
    <row r="477" spans="1:9" x14ac:dyDescent="0.25">
      <c r="A477" s="3">
        <v>40865</v>
      </c>
      <c r="B477" s="4" t="s">
        <v>0</v>
      </c>
      <c r="C477" s="4">
        <v>296.32979269999998</v>
      </c>
      <c r="D477" s="6">
        <f t="shared" si="42"/>
        <v>-9.96891108434011E-3</v>
      </c>
      <c r="E477" s="4">
        <f t="shared" si="43"/>
        <v>-1.377655922000721E-3</v>
      </c>
      <c r="F477" s="6">
        <f t="shared" si="44"/>
        <v>-8.5912551623393892E-3</v>
      </c>
      <c r="G477" s="4">
        <f t="shared" si="47"/>
        <v>2.6510339565461782E-2</v>
      </c>
      <c r="H477" s="4">
        <f t="shared" si="45"/>
        <v>-0.32407186415417527</v>
      </c>
      <c r="I477" s="4">
        <f t="shared" si="46"/>
        <v>-0.97144981977285372</v>
      </c>
    </row>
    <row r="478" spans="1:9" x14ac:dyDescent="0.25">
      <c r="A478" s="3">
        <v>40868</v>
      </c>
      <c r="B478" s="4" t="s">
        <v>0</v>
      </c>
      <c r="C478" s="4">
        <v>289.38581090000002</v>
      </c>
      <c r="D478" s="6">
        <f t="shared" si="42"/>
        <v>-2.3433289433134885E-2</v>
      </c>
      <c r="E478" s="4">
        <f t="shared" si="43"/>
        <v>-9.1553741092514213E-3</v>
      </c>
      <c r="F478" s="6">
        <f t="shared" si="44"/>
        <v>-1.4277915323883464E-2</v>
      </c>
      <c r="G478" s="4">
        <f t="shared" si="47"/>
        <v>1.5852944026664973E-2</v>
      </c>
      <c r="H478" s="4">
        <f t="shared" si="45"/>
        <v>-0.90064755794682183</v>
      </c>
      <c r="I478" s="4">
        <f t="shared" si="46"/>
        <v>-1.3245215450224594</v>
      </c>
    </row>
    <row r="479" spans="1:9" x14ac:dyDescent="0.25">
      <c r="A479" s="3">
        <v>40869</v>
      </c>
      <c r="B479" s="4" t="s">
        <v>0</v>
      </c>
      <c r="C479" s="4">
        <v>288.91754859999998</v>
      </c>
      <c r="D479" s="6">
        <f t="shared" si="42"/>
        <v>-1.6181246016994987E-3</v>
      </c>
      <c r="E479" s="4">
        <f t="shared" si="43"/>
        <v>-9.1203458631526242E-3</v>
      </c>
      <c r="F479" s="6">
        <f t="shared" si="44"/>
        <v>7.5022212614531255E-3</v>
      </c>
      <c r="G479" s="4">
        <f t="shared" si="47"/>
        <v>3.1938134198356699E-2</v>
      </c>
      <c r="H479" s="4">
        <f t="shared" si="45"/>
        <v>0.23489854525813642</v>
      </c>
      <c r="I479" s="4">
        <f t="shared" si="46"/>
        <v>-0.94652719648686701</v>
      </c>
    </row>
    <row r="480" spans="1:9" x14ac:dyDescent="0.25">
      <c r="A480" s="3">
        <v>40870</v>
      </c>
      <c r="B480" s="4" t="s">
        <v>0</v>
      </c>
      <c r="C480" s="4">
        <v>283.99102640000001</v>
      </c>
      <c r="D480" s="6">
        <f t="shared" si="42"/>
        <v>-1.7051654438687721E-2</v>
      </c>
      <c r="E480" s="4">
        <f t="shared" si="43"/>
        <v>-1.2011092976045301E-2</v>
      </c>
      <c r="F480" s="6">
        <f t="shared" si="44"/>
        <v>-5.0405614626424199E-3</v>
      </c>
      <c r="G480" s="4">
        <f t="shared" si="47"/>
        <v>1.5447946049318482E-2</v>
      </c>
      <c r="H480" s="4">
        <f t="shared" si="45"/>
        <v>-0.32629331087447672</v>
      </c>
      <c r="I480" s="4">
        <f t="shared" si="46"/>
        <v>-0.97217219556538659</v>
      </c>
    </row>
    <row r="481" spans="1:9" x14ac:dyDescent="0.25">
      <c r="A481" s="3">
        <v>40872</v>
      </c>
      <c r="B481" s="4" t="s">
        <v>0</v>
      </c>
      <c r="C481" s="4">
        <v>280.44930269999998</v>
      </c>
      <c r="D481" s="6">
        <f t="shared" si="42"/>
        <v>-1.2471252155029481E-2</v>
      </c>
      <c r="E481" s="4">
        <f t="shared" si="43"/>
        <v>-7.7954131677739217E-3</v>
      </c>
      <c r="F481" s="6">
        <f t="shared" si="44"/>
        <v>-4.6758389872555593E-3</v>
      </c>
      <c r="G481" s="4">
        <f t="shared" si="47"/>
        <v>1.3615588859584721E-2</v>
      </c>
      <c r="H481" s="4">
        <f t="shared" si="45"/>
        <v>-0.34341805084427129</v>
      </c>
      <c r="I481" s="4">
        <f t="shared" si="46"/>
        <v>-0.977906512027512</v>
      </c>
    </row>
    <row r="482" spans="1:9" x14ac:dyDescent="0.25">
      <c r="A482" s="3">
        <v>40875</v>
      </c>
      <c r="B482" s="4" t="s">
        <v>0</v>
      </c>
      <c r="C482" s="4">
        <v>292.99726729999998</v>
      </c>
      <c r="D482" s="6">
        <f t="shared" si="42"/>
        <v>4.4742363340524012E-2</v>
      </c>
      <c r="E482" s="4">
        <f t="shared" si="43"/>
        <v>-7.0142967766064646E-3</v>
      </c>
      <c r="F482" s="6">
        <f t="shared" si="44"/>
        <v>5.1756660117130475E-2</v>
      </c>
      <c r="G482" s="4">
        <f t="shared" si="47"/>
        <v>1.3826691773553777E-2</v>
      </c>
      <c r="H482" s="4">
        <f t="shared" si="45"/>
        <v>3.7432424881362509</v>
      </c>
      <c r="I482" s="4">
        <f t="shared" si="46"/>
        <v>-7.9248706956989086</v>
      </c>
    </row>
    <row r="483" spans="1:9" x14ac:dyDescent="0.25">
      <c r="A483" s="3">
        <v>40876</v>
      </c>
      <c r="B483" s="4" t="s">
        <v>0</v>
      </c>
      <c r="C483" s="4">
        <v>290.3770849</v>
      </c>
      <c r="D483" s="6">
        <f t="shared" si="42"/>
        <v>-8.9426854528208647E-3</v>
      </c>
      <c r="E483" s="4">
        <f t="shared" si="43"/>
        <v>-9.9887125502031941E-3</v>
      </c>
      <c r="F483" s="6">
        <f t="shared" si="44"/>
        <v>1.0460270973823294E-3</v>
      </c>
      <c r="G483" s="4">
        <f t="shared" si="47"/>
        <v>0.12888702279815592</v>
      </c>
      <c r="H483" s="4">
        <f t="shared" si="45"/>
        <v>8.115844983249125E-3</v>
      </c>
      <c r="I483" s="4">
        <f t="shared" si="46"/>
        <v>-0.91897146667456875</v>
      </c>
    </row>
    <row r="484" spans="1:9" x14ac:dyDescent="0.25">
      <c r="A484" s="3">
        <v>40877</v>
      </c>
      <c r="B484" s="4" t="s">
        <v>0</v>
      </c>
      <c r="C484" s="4">
        <v>298.57637840000001</v>
      </c>
      <c r="D484" s="6">
        <f t="shared" si="42"/>
        <v>2.8236709872694263E-2</v>
      </c>
      <c r="E484" s="4">
        <f t="shared" si="43"/>
        <v>1.3284548218834378E-2</v>
      </c>
      <c r="F484" s="6">
        <f t="shared" si="44"/>
        <v>1.4952161653859885E-2</v>
      </c>
      <c r="G484" s="4">
        <f t="shared" si="47"/>
        <v>4.9453070900200125E-2</v>
      </c>
      <c r="H484" s="4">
        <f t="shared" si="45"/>
        <v>0.30235051902104176</v>
      </c>
      <c r="I484" s="4">
        <f t="shared" si="46"/>
        <v>-0.9646464513808195</v>
      </c>
    </row>
    <row r="485" spans="1:9" x14ac:dyDescent="0.25">
      <c r="A485" s="3">
        <v>40878</v>
      </c>
      <c r="B485" s="4" t="s">
        <v>0</v>
      </c>
      <c r="C485" s="4">
        <v>305.73953820000003</v>
      </c>
      <c r="D485" s="6">
        <f t="shared" si="42"/>
        <v>2.3991046573696457E-2</v>
      </c>
      <c r="E485" s="4">
        <f t="shared" si="43"/>
        <v>1.0284409692058231E-2</v>
      </c>
      <c r="F485" s="6">
        <f t="shared" si="44"/>
        <v>1.3706636881638225E-2</v>
      </c>
      <c r="G485" s="4">
        <f t="shared" si="47"/>
        <v>2.2117953347589099E-2</v>
      </c>
      <c r="H485" s="4">
        <f t="shared" si="45"/>
        <v>0.61970638359865593</v>
      </c>
      <c r="I485" s="4">
        <f t="shared" si="46"/>
        <v>-1.1109565341411349</v>
      </c>
    </row>
    <row r="486" spans="1:9" x14ac:dyDescent="0.25">
      <c r="A486" s="3">
        <v>40879</v>
      </c>
      <c r="B486" s="4" t="s">
        <v>0</v>
      </c>
      <c r="C486" s="4">
        <v>309.0222278</v>
      </c>
      <c r="D486" s="6">
        <f t="shared" si="42"/>
        <v>1.073688283604521E-2</v>
      </c>
      <c r="E486" s="4">
        <f t="shared" si="43"/>
        <v>8.056069968932161E-3</v>
      </c>
      <c r="F486" s="6">
        <f t="shared" si="44"/>
        <v>2.6808128671130492E-3</v>
      </c>
      <c r="G486" s="4">
        <f t="shared" si="47"/>
        <v>2.3450546442295373E-2</v>
      </c>
      <c r="H486" s="4">
        <f t="shared" si="45"/>
        <v>0.11431771424643389</v>
      </c>
      <c r="I486" s="4">
        <f t="shared" si="46"/>
        <v>-0.9254728030999374</v>
      </c>
    </row>
    <row r="487" spans="1:9" x14ac:dyDescent="0.25">
      <c r="A487" s="3">
        <v>40882</v>
      </c>
      <c r="B487" s="4" t="s">
        <v>0</v>
      </c>
      <c r="C487" s="4">
        <v>311.65736420000002</v>
      </c>
      <c r="D487" s="6">
        <f t="shared" si="42"/>
        <v>8.5273361038141534E-3</v>
      </c>
      <c r="E487" s="4">
        <f t="shared" si="43"/>
        <v>1.7819048105118473E-2</v>
      </c>
      <c r="F487" s="6">
        <f t="shared" si="44"/>
        <v>-9.2917120013043201E-3</v>
      </c>
      <c r="G487" s="4">
        <f t="shared" si="47"/>
        <v>1.0971225435964509E-2</v>
      </c>
      <c r="H487" s="4">
        <f t="shared" si="45"/>
        <v>-0.84691651407010415</v>
      </c>
      <c r="I487" s="4">
        <f t="shared" si="46"/>
        <v>-1.2775723241070012</v>
      </c>
    </row>
    <row r="488" spans="1:9" x14ac:dyDescent="0.25">
      <c r="A488" s="3">
        <v>40883</v>
      </c>
      <c r="B488" s="4" t="s">
        <v>0</v>
      </c>
      <c r="C488" s="4">
        <v>310.72086990000003</v>
      </c>
      <c r="D488" s="6">
        <f t="shared" si="42"/>
        <v>-3.0048842336965146E-3</v>
      </c>
      <c r="E488" s="4">
        <f t="shared" si="43"/>
        <v>1.1451968798147239E-2</v>
      </c>
      <c r="F488" s="6">
        <f t="shared" si="44"/>
        <v>-1.4456853031843754E-2</v>
      </c>
      <c r="G488" s="4">
        <f t="shared" si="47"/>
        <v>2.9832750667420024E-2</v>
      </c>
      <c r="H488" s="4">
        <f t="shared" si="45"/>
        <v>-0.48459671697762363</v>
      </c>
      <c r="I488" s="4">
        <f t="shared" si="46"/>
        <v>-1.0363555222574181</v>
      </c>
    </row>
    <row r="489" spans="1:9" x14ac:dyDescent="0.25">
      <c r="A489" s="3">
        <v>40884</v>
      </c>
      <c r="B489" s="4" t="s">
        <v>0</v>
      </c>
      <c r="C489" s="4">
        <v>310.53159929999998</v>
      </c>
      <c r="D489" s="6">
        <f t="shared" si="42"/>
        <v>-6.0913385078046548E-4</v>
      </c>
      <c r="E489" s="4">
        <f t="shared" si="43"/>
        <v>6.5479573924385297E-3</v>
      </c>
      <c r="F489" s="6">
        <f t="shared" si="44"/>
        <v>-7.1570912432189953E-3</v>
      </c>
      <c r="G489" s="4">
        <f t="shared" si="47"/>
        <v>2.078474621849383E-2</v>
      </c>
      <c r="H489" s="4">
        <f t="shared" si="45"/>
        <v>-0.34434345110505926</v>
      </c>
      <c r="I489" s="4">
        <f t="shared" si="46"/>
        <v>-0.97822473936414389</v>
      </c>
    </row>
    <row r="490" spans="1:9" x14ac:dyDescent="0.25">
      <c r="A490" s="3">
        <v>40885</v>
      </c>
      <c r="B490" s="4" t="s">
        <v>0</v>
      </c>
      <c r="C490" s="4">
        <v>306.87528209999999</v>
      </c>
      <c r="D490" s="6">
        <f t="shared" si="42"/>
        <v>-1.1774380476067672E-2</v>
      </c>
      <c r="E490" s="4">
        <f t="shared" si="43"/>
        <v>1.4627985698611602E-3</v>
      </c>
      <c r="F490" s="6">
        <f t="shared" si="44"/>
        <v>-1.3237179045928832E-2</v>
      </c>
      <c r="G490" s="4">
        <f t="shared" si="47"/>
        <v>1.5095302423784771E-2</v>
      </c>
      <c r="H490" s="4">
        <f t="shared" si="45"/>
        <v>-0.87690717776357996</v>
      </c>
      <c r="I490" s="4">
        <f t="shared" si="46"/>
        <v>-1.3034216324113161</v>
      </c>
    </row>
    <row r="491" spans="1:9" x14ac:dyDescent="0.25">
      <c r="A491" s="3">
        <v>40886</v>
      </c>
      <c r="B491" s="4" t="s">
        <v>0</v>
      </c>
      <c r="C491" s="4">
        <v>312.53907980000002</v>
      </c>
      <c r="D491" s="6">
        <f t="shared" si="42"/>
        <v>1.8456350284199161E-2</v>
      </c>
      <c r="E491" s="4">
        <f t="shared" si="43"/>
        <v>-1.1533471446535607E-3</v>
      </c>
      <c r="F491" s="6">
        <f t="shared" si="44"/>
        <v>1.960969742885272E-2</v>
      </c>
      <c r="G491" s="4">
        <f t="shared" si="47"/>
        <v>3.1092696640683655E-2</v>
      </c>
      <c r="H491" s="4">
        <f t="shared" si="45"/>
        <v>0.63068500154451534</v>
      </c>
      <c r="I491" s="4">
        <f t="shared" si="46"/>
        <v>-1.1178203187912754</v>
      </c>
    </row>
    <row r="492" spans="1:9" x14ac:dyDescent="0.25">
      <c r="A492" s="3">
        <v>40889</v>
      </c>
      <c r="B492" s="4" t="s">
        <v>0</v>
      </c>
      <c r="C492" s="4">
        <v>311.52784759999997</v>
      </c>
      <c r="D492" s="6">
        <f t="shared" si="42"/>
        <v>-3.2355384185784363E-3</v>
      </c>
      <c r="E492" s="4">
        <f t="shared" si="43"/>
        <v>-4.6872804112887238E-3</v>
      </c>
      <c r="F492" s="6">
        <f t="shared" si="44"/>
        <v>1.4517419927102876E-3</v>
      </c>
      <c r="G492" s="4">
        <f t="shared" si="47"/>
        <v>2.5213924859418764E-2</v>
      </c>
      <c r="H492" s="4">
        <f t="shared" si="45"/>
        <v>5.7576993697115088E-2</v>
      </c>
      <c r="I492" s="4">
        <f t="shared" si="46"/>
        <v>-0.9205960883062716</v>
      </c>
    </row>
    <row r="493" spans="1:9" x14ac:dyDescent="0.25">
      <c r="A493" s="3">
        <v>40890</v>
      </c>
      <c r="B493" s="4" t="s">
        <v>0</v>
      </c>
      <c r="C493" s="4">
        <v>311.64741550000002</v>
      </c>
      <c r="D493" s="6">
        <f t="shared" si="42"/>
        <v>3.838112737631536E-4</v>
      </c>
      <c r="E493" s="4">
        <f t="shared" si="43"/>
        <v>3.4494843609190404E-3</v>
      </c>
      <c r="F493" s="6">
        <f t="shared" si="44"/>
        <v>-3.0656730871558868E-3</v>
      </c>
      <c r="G493" s="4">
        <f t="shared" si="47"/>
        <v>1.1015729768227079E-2</v>
      </c>
      <c r="H493" s="4">
        <f t="shared" si="45"/>
        <v>-0.27829959082677186</v>
      </c>
      <c r="I493" s="4">
        <f t="shared" si="46"/>
        <v>-0.95766386433184703</v>
      </c>
    </row>
    <row r="494" spans="1:9" x14ac:dyDescent="0.25">
      <c r="A494" s="3">
        <v>40891</v>
      </c>
      <c r="B494" s="4" t="s">
        <v>0</v>
      </c>
      <c r="C494" s="4">
        <v>307.88150949999999</v>
      </c>
      <c r="D494" s="6">
        <f t="shared" si="42"/>
        <v>-1.2083867257355867E-2</v>
      </c>
      <c r="E494" s="4">
        <f t="shared" si="43"/>
        <v>4.4154266845972791E-3</v>
      </c>
      <c r="F494" s="6">
        <f t="shared" si="44"/>
        <v>-1.6499293941953146E-2</v>
      </c>
      <c r="G494" s="4">
        <f t="shared" si="47"/>
        <v>1.157583858153847E-2</v>
      </c>
      <c r="H494" s="4">
        <f t="shared" si="45"/>
        <v>-1.4253217013812516</v>
      </c>
      <c r="I494" s="4">
        <f t="shared" si="46"/>
        <v>-1.9347095094188456</v>
      </c>
    </row>
    <row r="495" spans="1:9" x14ac:dyDescent="0.25">
      <c r="A495" s="3">
        <v>40892</v>
      </c>
      <c r="B495" s="4" t="s">
        <v>0</v>
      </c>
      <c r="C495" s="4">
        <v>308.61377979999997</v>
      </c>
      <c r="D495" s="6">
        <f t="shared" si="42"/>
        <v>2.378415973044922E-3</v>
      </c>
      <c r="E495" s="4">
        <f t="shared" si="43"/>
        <v>-8.4440940383888471E-4</v>
      </c>
      <c r="F495" s="6">
        <f t="shared" si="44"/>
        <v>3.2228253768838066E-3</v>
      </c>
      <c r="G495" s="4">
        <f t="shared" si="47"/>
        <v>4.9448850984404123E-2</v>
      </c>
      <c r="H495" s="4">
        <f t="shared" si="45"/>
        <v>6.5174929502411827E-2</v>
      </c>
      <c r="I495" s="4">
        <f t="shared" si="46"/>
        <v>-0.92106241892249485</v>
      </c>
    </row>
    <row r="496" spans="1:9" x14ac:dyDescent="0.25">
      <c r="A496" s="3">
        <v>40893</v>
      </c>
      <c r="B496" s="4" t="s">
        <v>0</v>
      </c>
      <c r="C496" s="4">
        <v>311.81178340000002</v>
      </c>
      <c r="D496" s="6">
        <f t="shared" si="42"/>
        <v>1.0362478312123799E-2</v>
      </c>
      <c r="E496" s="4">
        <f t="shared" si="43"/>
        <v>-4.5018206958045851E-3</v>
      </c>
      <c r="F496" s="6">
        <f t="shared" si="44"/>
        <v>1.4864299007928385E-2</v>
      </c>
      <c r="G496" s="4">
        <f t="shared" si="47"/>
        <v>1.9650135665464696E-2</v>
      </c>
      <c r="H496" s="4">
        <f t="shared" si="45"/>
        <v>0.7564476531351656</v>
      </c>
      <c r="I496" s="4">
        <f t="shared" si="46"/>
        <v>-1.2050450591715225</v>
      </c>
    </row>
    <row r="497" spans="1:9" x14ac:dyDescent="0.25">
      <c r="A497" s="3">
        <v>40896</v>
      </c>
      <c r="B497" s="4" t="s">
        <v>0</v>
      </c>
      <c r="C497" s="4">
        <v>309.75449859999998</v>
      </c>
      <c r="D497" s="6">
        <f t="shared" si="42"/>
        <v>-6.5978417414742493E-3</v>
      </c>
      <c r="E497" s="4">
        <f t="shared" si="43"/>
        <v>-2.791284831155782E-3</v>
      </c>
      <c r="F497" s="6">
        <f t="shared" si="44"/>
        <v>-3.8065569103184673E-3</v>
      </c>
      <c r="G497" s="4">
        <f t="shared" si="47"/>
        <v>2.7518995702431652E-2</v>
      </c>
      <c r="H497" s="4">
        <f t="shared" si="45"/>
        <v>-0.13832470310615694</v>
      </c>
      <c r="I497" s="4">
        <f t="shared" si="46"/>
        <v>-0.9285053949493759</v>
      </c>
    </row>
    <row r="498" spans="1:9" x14ac:dyDescent="0.25">
      <c r="A498" s="3">
        <v>40897</v>
      </c>
      <c r="B498" s="4" t="s">
        <v>0</v>
      </c>
      <c r="C498" s="4">
        <v>314.00856429999999</v>
      </c>
      <c r="D498" s="6">
        <f t="shared" si="42"/>
        <v>1.3733668822332359E-2</v>
      </c>
      <c r="E498" s="4">
        <f t="shared" si="43"/>
        <v>4.6896232929118462E-3</v>
      </c>
      <c r="F498" s="6">
        <f t="shared" si="44"/>
        <v>9.0440455294205132E-3</v>
      </c>
      <c r="G498" s="4">
        <f t="shared" si="47"/>
        <v>1.256001230715945E-2</v>
      </c>
      <c r="H498" s="4">
        <f t="shared" si="45"/>
        <v>0.72006661365015001</v>
      </c>
      <c r="I498" s="4">
        <f t="shared" si="46"/>
        <v>-1.1781864972514697</v>
      </c>
    </row>
    <row r="499" spans="1:9" x14ac:dyDescent="0.25">
      <c r="A499" s="3">
        <v>40898</v>
      </c>
      <c r="B499" s="4" t="s">
        <v>0</v>
      </c>
      <c r="C499" s="4">
        <v>311.74205080000002</v>
      </c>
      <c r="D499" s="6">
        <f t="shared" si="42"/>
        <v>-7.2179989900994354E-3</v>
      </c>
      <c r="E499" s="4">
        <f t="shared" si="43"/>
        <v>6.5158880521054867E-4</v>
      </c>
      <c r="F499" s="6">
        <f t="shared" si="44"/>
        <v>-7.8695877953099836E-3</v>
      </c>
      <c r="G499" s="4">
        <f t="shared" si="47"/>
        <v>2.5700831463148298E-2</v>
      </c>
      <c r="H499" s="4">
        <f t="shared" si="45"/>
        <v>-0.30619973546746787</v>
      </c>
      <c r="I499" s="4">
        <f t="shared" si="46"/>
        <v>-0.96581767220484627</v>
      </c>
    </row>
    <row r="500" spans="1:9" x14ac:dyDescent="0.25">
      <c r="A500" s="3">
        <v>40899</v>
      </c>
      <c r="B500" s="4" t="s">
        <v>0</v>
      </c>
      <c r="C500" s="4">
        <v>313.67482380000001</v>
      </c>
      <c r="D500" s="6">
        <f t="shared" si="42"/>
        <v>6.1999110964981096E-3</v>
      </c>
      <c r="E500" s="4">
        <f t="shared" si="43"/>
        <v>3.2293481773551349E-3</v>
      </c>
      <c r="F500" s="6">
        <f t="shared" si="44"/>
        <v>2.9705629191429748E-3</v>
      </c>
      <c r="G500" s="4">
        <f t="shared" si="47"/>
        <v>1.5226444942015017E-2</v>
      </c>
      <c r="H500" s="4">
        <f t="shared" si="45"/>
        <v>0.19509234955732618</v>
      </c>
      <c r="I500" s="4">
        <f t="shared" si="46"/>
        <v>-0.93796904563257166</v>
      </c>
    </row>
    <row r="501" spans="1:9" x14ac:dyDescent="0.25">
      <c r="A501" s="3">
        <v>40900</v>
      </c>
      <c r="B501" s="4" t="s">
        <v>0</v>
      </c>
      <c r="C501" s="4">
        <v>315.3883889</v>
      </c>
      <c r="D501" s="6">
        <f t="shared" si="42"/>
        <v>5.4628710052055584E-3</v>
      </c>
      <c r="E501" s="4">
        <f t="shared" si="43"/>
        <v>1.4467994526853782E-3</v>
      </c>
      <c r="F501" s="6">
        <f t="shared" si="44"/>
        <v>4.0160715525201802E-3</v>
      </c>
      <c r="G501" s="4">
        <f t="shared" si="47"/>
        <v>1.017603043158637E-2</v>
      </c>
      <c r="H501" s="4">
        <f t="shared" si="45"/>
        <v>0.39465993930740473</v>
      </c>
      <c r="I501" s="4">
        <f t="shared" si="46"/>
        <v>-0.99681676705173483</v>
      </c>
    </row>
    <row r="502" spans="1:9" x14ac:dyDescent="0.25">
      <c r="A502" s="3">
        <v>40904</v>
      </c>
      <c r="B502" s="4" t="s">
        <v>0</v>
      </c>
      <c r="C502" s="4">
        <v>318.93011209999997</v>
      </c>
      <c r="D502" s="6">
        <f t="shared" si="42"/>
        <v>1.1229719687375525E-2</v>
      </c>
      <c r="E502" s="4">
        <f t="shared" si="43"/>
        <v>1.5967826114571997E-4</v>
      </c>
      <c r="F502" s="6">
        <f t="shared" si="44"/>
        <v>1.1070041426229806E-2</v>
      </c>
      <c r="G502" s="4">
        <f t="shared" si="47"/>
        <v>1.4964916322236867E-2</v>
      </c>
      <c r="H502" s="4">
        <f t="shared" si="45"/>
        <v>0.73973293186948619</v>
      </c>
      <c r="I502" s="4">
        <f t="shared" si="46"/>
        <v>-1.1925409384507857</v>
      </c>
    </row>
    <row r="503" spans="1:9" x14ac:dyDescent="0.25">
      <c r="A503" s="3">
        <v>40905</v>
      </c>
      <c r="B503" s="4" t="s">
        <v>0</v>
      </c>
      <c r="C503" s="4">
        <v>318.65615550000001</v>
      </c>
      <c r="D503" s="6">
        <f t="shared" si="42"/>
        <v>-8.5898630955882926E-4</v>
      </c>
      <c r="E503" s="4">
        <f t="shared" si="43"/>
        <v>3.9873031358514562E-3</v>
      </c>
      <c r="F503" s="6">
        <f t="shared" si="44"/>
        <v>-4.8462894454102852E-3</v>
      </c>
      <c r="G503" s="4">
        <f t="shared" si="47"/>
        <v>2.6535015461785518E-2</v>
      </c>
      <c r="H503" s="4">
        <f t="shared" si="45"/>
        <v>-0.18263752106682143</v>
      </c>
      <c r="I503" s="4">
        <f t="shared" si="46"/>
        <v>-0.9356167652553895</v>
      </c>
    </row>
    <row r="504" spans="1:9" x14ac:dyDescent="0.25">
      <c r="A504" s="3">
        <v>40906</v>
      </c>
      <c r="B504" s="4" t="s">
        <v>0</v>
      </c>
      <c r="C504" s="4">
        <v>320.00109780000003</v>
      </c>
      <c r="D504" s="6">
        <f t="shared" si="42"/>
        <v>4.2206694482009267E-3</v>
      </c>
      <c r="E504" s="4">
        <f t="shared" si="43"/>
        <v>5.9658876016831204E-3</v>
      </c>
      <c r="F504" s="6">
        <f t="shared" si="44"/>
        <v>-1.7452181534821937E-3</v>
      </c>
      <c r="G504" s="4">
        <f t="shared" si="47"/>
        <v>1.291555566925425E-2</v>
      </c>
      <c r="H504" s="4">
        <f t="shared" si="45"/>
        <v>-0.13512528598647305</v>
      </c>
      <c r="I504" s="4">
        <f t="shared" si="46"/>
        <v>-0.92806795466113579</v>
      </c>
    </row>
    <row r="505" spans="1:9" x14ac:dyDescent="0.25">
      <c r="A505" s="3">
        <v>40907</v>
      </c>
      <c r="B505" s="4" t="s">
        <v>0</v>
      </c>
      <c r="C505" s="4">
        <v>321.74457039999999</v>
      </c>
      <c r="D505" s="6">
        <f t="shared" si="42"/>
        <v>5.4483331838118499E-3</v>
      </c>
      <c r="E505" s="4">
        <f t="shared" si="43"/>
        <v>3.1108382957365328E-3</v>
      </c>
      <c r="F505" s="6">
        <f t="shared" si="44"/>
        <v>2.3374948880753171E-3</v>
      </c>
      <c r="G505" s="4">
        <f t="shared" si="47"/>
        <v>8.4066950633416796E-3</v>
      </c>
      <c r="H505" s="4">
        <f t="shared" si="45"/>
        <v>0.27805158513102507</v>
      </c>
      <c r="I505" s="4">
        <f t="shared" si="46"/>
        <v>-0.95759487520161046</v>
      </c>
    </row>
    <row r="506" spans="1:9" x14ac:dyDescent="0.25">
      <c r="A506" s="3">
        <v>40911</v>
      </c>
      <c r="B506" s="4" t="s">
        <v>0</v>
      </c>
      <c r="C506" s="4">
        <v>331.46315370000002</v>
      </c>
      <c r="D506" s="6">
        <f t="shared" si="42"/>
        <v>3.0205896832750514E-2</v>
      </c>
      <c r="E506" s="4">
        <f t="shared" si="43"/>
        <v>1.3505167227257943E-3</v>
      </c>
      <c r="F506" s="6">
        <f t="shared" si="44"/>
        <v>2.8855380110024718E-2</v>
      </c>
      <c r="G506" s="4">
        <f t="shared" si="47"/>
        <v>1.1245114710348338E-2</v>
      </c>
      <c r="H506" s="4">
        <f t="shared" si="45"/>
        <v>2.566036972790549</v>
      </c>
      <c r="I506" s="4">
        <f t="shared" si="46"/>
        <v>-4.2112114060687151</v>
      </c>
    </row>
    <row r="507" spans="1:9" x14ac:dyDescent="0.25">
      <c r="A507" s="3">
        <v>40912</v>
      </c>
      <c r="B507" s="4" t="s">
        <v>0</v>
      </c>
      <c r="C507" s="4">
        <v>332.89281299999999</v>
      </c>
      <c r="D507" s="6">
        <f t="shared" si="42"/>
        <v>4.3131771481723178E-3</v>
      </c>
      <c r="E507" s="4">
        <f t="shared" si="43"/>
        <v>3.3759780219489344E-3</v>
      </c>
      <c r="F507" s="6">
        <f t="shared" si="44"/>
        <v>9.3719912622338341E-4</v>
      </c>
      <c r="G507" s="4">
        <f t="shared" si="47"/>
        <v>8.8458060198289404E-2</v>
      </c>
      <c r="H507" s="4">
        <f t="shared" si="45"/>
        <v>1.0594841488978378E-2</v>
      </c>
      <c r="I507" s="4">
        <f t="shared" si="46"/>
        <v>-0.91899465853776097</v>
      </c>
    </row>
    <row r="508" spans="1:9" x14ac:dyDescent="0.25">
      <c r="A508" s="3">
        <v>40913</v>
      </c>
      <c r="B508" s="4" t="s">
        <v>0</v>
      </c>
      <c r="C508" s="4">
        <v>328.27509880000002</v>
      </c>
      <c r="D508" s="6">
        <f t="shared" si="42"/>
        <v>-1.3871474599843543E-2</v>
      </c>
      <c r="E508" s="4">
        <f t="shared" si="43"/>
        <v>1.3215736950600328E-2</v>
      </c>
      <c r="F508" s="6">
        <f t="shared" si="44"/>
        <v>-2.7087211550443871E-2</v>
      </c>
      <c r="G508" s="4">
        <f t="shared" si="47"/>
        <v>3.4134755184300085E-2</v>
      </c>
      <c r="H508" s="4">
        <f t="shared" si="45"/>
        <v>-0.79353759545644387</v>
      </c>
      <c r="I508" s="4">
        <f t="shared" si="46"/>
        <v>-1.23378949090607</v>
      </c>
    </row>
    <row r="509" spans="1:9" x14ac:dyDescent="0.25">
      <c r="A509" s="3">
        <v>40914</v>
      </c>
      <c r="B509" s="4" t="s">
        <v>0</v>
      </c>
      <c r="C509" s="4">
        <v>323.7968808</v>
      </c>
      <c r="D509" s="6">
        <f t="shared" si="42"/>
        <v>-1.3641662180195881E-2</v>
      </c>
      <c r="E509" s="4">
        <f t="shared" si="43"/>
        <v>1.0899183276661218E-2</v>
      </c>
      <c r="F509" s="6">
        <f t="shared" si="44"/>
        <v>-2.4540845456857099E-2</v>
      </c>
      <c r="G509" s="4">
        <f t="shared" si="47"/>
        <v>3.0639224047014437E-2</v>
      </c>
      <c r="H509" s="4">
        <f t="shared" si="45"/>
        <v>-0.80096171558393048</v>
      </c>
      <c r="I509" s="4">
        <f t="shared" si="46"/>
        <v>-1.2397083681202494</v>
      </c>
    </row>
    <row r="510" spans="1:9" x14ac:dyDescent="0.25">
      <c r="A510" s="3">
        <v>40917</v>
      </c>
      <c r="B510" s="4" t="s">
        <v>0</v>
      </c>
      <c r="C510" s="4">
        <v>310.0683113</v>
      </c>
      <c r="D510" s="6">
        <f t="shared" si="42"/>
        <v>-4.2398708307754621E-2</v>
      </c>
      <c r="E510" s="4">
        <f t="shared" si="43"/>
        <v>-3.9821292439065443E-3</v>
      </c>
      <c r="F510" s="6">
        <f t="shared" si="44"/>
        <v>-3.8416579063848079E-2</v>
      </c>
      <c r="G510" s="4">
        <f t="shared" si="47"/>
        <v>3.0327499452136947E-2</v>
      </c>
      <c r="H510" s="4">
        <f t="shared" si="45"/>
        <v>-1.2667242521750719</v>
      </c>
      <c r="I510" s="4">
        <f t="shared" si="46"/>
        <v>-1.7212336987289203</v>
      </c>
    </row>
    <row r="511" spans="1:9" x14ac:dyDescent="0.25">
      <c r="A511" s="3">
        <v>40918</v>
      </c>
      <c r="B511" s="4" t="s">
        <v>0</v>
      </c>
      <c r="C511" s="4">
        <v>310.40705709999997</v>
      </c>
      <c r="D511" s="6">
        <f t="shared" si="42"/>
        <v>1.0924876475759027E-3</v>
      </c>
      <c r="E511" s="4">
        <f t="shared" si="43"/>
        <v>-9.4639417014682412E-3</v>
      </c>
      <c r="F511" s="6">
        <f t="shared" si="44"/>
        <v>1.0556429349044143E-2</v>
      </c>
      <c r="G511" s="4">
        <f t="shared" si="47"/>
        <v>4.5333441699706253E-2</v>
      </c>
      <c r="H511" s="4">
        <f t="shared" si="45"/>
        <v>0.23286185547020899</v>
      </c>
      <c r="I511" s="4">
        <f t="shared" si="46"/>
        <v>-0.94605085507118691</v>
      </c>
    </row>
    <row r="512" spans="1:9" x14ac:dyDescent="0.25">
      <c r="A512" s="3">
        <v>40919</v>
      </c>
      <c r="B512" s="4" t="s">
        <v>0</v>
      </c>
      <c r="C512" s="4">
        <v>311.81178340000002</v>
      </c>
      <c r="D512" s="6">
        <f t="shared" si="42"/>
        <v>4.5254328723187071E-3</v>
      </c>
      <c r="E512" s="4">
        <f t="shared" si="43"/>
        <v>-2.0385912392665965E-2</v>
      </c>
      <c r="F512" s="6">
        <f t="shared" si="44"/>
        <v>2.4911345264984671E-2</v>
      </c>
      <c r="G512" s="4">
        <f t="shared" si="47"/>
        <v>1.9706555968190285E-2</v>
      </c>
      <c r="H512" s="4">
        <f t="shared" si="45"/>
        <v>1.2641146076054992</v>
      </c>
      <c r="I512" s="4">
        <f t="shared" si="46"/>
        <v>-1.7179314037854754</v>
      </c>
    </row>
    <row r="513" spans="1:9" x14ac:dyDescent="0.25">
      <c r="A513" s="3">
        <v>40920</v>
      </c>
      <c r="B513" s="4" t="s">
        <v>0</v>
      </c>
      <c r="C513" s="4">
        <v>313.6449164</v>
      </c>
      <c r="D513" s="6">
        <f t="shared" si="42"/>
        <v>5.8789728213971505E-3</v>
      </c>
      <c r="E513" s="4">
        <f t="shared" si="43"/>
        <v>-1.2566972378364905E-2</v>
      </c>
      <c r="F513" s="6">
        <f t="shared" si="44"/>
        <v>1.8445945199762056E-2</v>
      </c>
      <c r="G513" s="4">
        <f t="shared" si="47"/>
        <v>4.4383293698730918E-2</v>
      </c>
      <c r="H513" s="4">
        <f t="shared" si="45"/>
        <v>0.41560559531636321</v>
      </c>
      <c r="I513" s="4">
        <f t="shared" si="46"/>
        <v>-1.005302538633807</v>
      </c>
    </row>
    <row r="514" spans="1:9" x14ac:dyDescent="0.25">
      <c r="A514" s="3">
        <v>40921</v>
      </c>
      <c r="B514" s="4" t="s">
        <v>0</v>
      </c>
      <c r="C514" s="4">
        <v>311.328598</v>
      </c>
      <c r="D514" s="6">
        <f t="shared" si="42"/>
        <v>-7.3851616234899709E-3</v>
      </c>
      <c r="E514" s="4">
        <f t="shared" si="43"/>
        <v>2.0646732750586234E-3</v>
      </c>
      <c r="F514" s="6">
        <f t="shared" si="44"/>
        <v>-9.4498348985485939E-3</v>
      </c>
      <c r="G514" s="4">
        <f t="shared" si="47"/>
        <v>2.2715050447130208E-2</v>
      </c>
      <c r="H514" s="4">
        <f t="shared" si="45"/>
        <v>-0.41601646100427103</v>
      </c>
      <c r="I514" s="4">
        <f t="shared" si="46"/>
        <v>-1.0054733811179317</v>
      </c>
    </row>
    <row r="515" spans="1:9" x14ac:dyDescent="0.25">
      <c r="A515" s="3">
        <v>40925</v>
      </c>
      <c r="B515" s="4" t="s">
        <v>0</v>
      </c>
      <c r="C515" s="4">
        <v>313.11690049999999</v>
      </c>
      <c r="D515" s="6">
        <f t="shared" si="42"/>
        <v>5.7440996795289139E-3</v>
      </c>
      <c r="E515" s="4">
        <f t="shared" si="43"/>
        <v>3.6331852518925777E-3</v>
      </c>
      <c r="F515" s="6">
        <f t="shared" si="44"/>
        <v>2.1109144276363363E-3</v>
      </c>
      <c r="G515" s="4">
        <f t="shared" si="47"/>
        <v>1.7450190384646767E-2</v>
      </c>
      <c r="H515" s="4">
        <f t="shared" si="45"/>
        <v>0.12096798837757014</v>
      </c>
      <c r="I515" s="4">
        <f t="shared" si="46"/>
        <v>-0.92625516031073063</v>
      </c>
    </row>
    <row r="516" spans="1:9" x14ac:dyDescent="0.25">
      <c r="A516" s="3">
        <v>40926</v>
      </c>
      <c r="B516" s="4" t="s">
        <v>0</v>
      </c>
      <c r="C516" s="4">
        <v>315.2738253</v>
      </c>
      <c r="D516" s="6">
        <f t="shared" ref="D516:D579" si="48">(C516-C515)/C515</f>
        <v>6.8885607789159024E-3</v>
      </c>
      <c r="E516" s="4">
        <f t="shared" si="43"/>
        <v>-1.0226304900835309E-3</v>
      </c>
      <c r="F516" s="6">
        <f t="shared" si="44"/>
        <v>7.9111912689994335E-3</v>
      </c>
      <c r="G516" s="4">
        <f t="shared" si="47"/>
        <v>9.2980429050791569E-3</v>
      </c>
      <c r="H516" s="4">
        <f t="shared" si="45"/>
        <v>0.85084477989210605</v>
      </c>
      <c r="I516" s="4">
        <f t="shared" si="46"/>
        <v>-1.2809069529394961</v>
      </c>
    </row>
    <row r="517" spans="1:9" x14ac:dyDescent="0.25">
      <c r="A517" s="3">
        <v>40927</v>
      </c>
      <c r="B517" s="4" t="s">
        <v>0</v>
      </c>
      <c r="C517" s="4">
        <v>318.59139720000002</v>
      </c>
      <c r="D517" s="6">
        <f t="shared" si="48"/>
        <v>1.0522826932566225E-2</v>
      </c>
      <c r="E517" s="4">
        <f t="shared" si="43"/>
        <v>-6.5734382796662875E-5</v>
      </c>
      <c r="F517" s="6">
        <f t="shared" si="44"/>
        <v>1.0588561315362888E-2</v>
      </c>
      <c r="G517" s="4">
        <f t="shared" si="47"/>
        <v>2.988197850517494E-2</v>
      </c>
      <c r="H517" s="4">
        <f t="shared" si="45"/>
        <v>0.35434605889731058</v>
      </c>
      <c r="I517" s="4">
        <f t="shared" si="46"/>
        <v>-0.98171909793270085</v>
      </c>
    </row>
    <row r="518" spans="1:9" x14ac:dyDescent="0.25">
      <c r="A518" s="3">
        <v>40928</v>
      </c>
      <c r="B518" s="4" t="s">
        <v>0</v>
      </c>
      <c r="C518" s="4">
        <v>291.90137950000002</v>
      </c>
      <c r="D518" s="6">
        <f t="shared" si="48"/>
        <v>-8.3775073446961223E-2</v>
      </c>
      <c r="E518" s="4">
        <f t="shared" si="43"/>
        <v>4.3927073138268526E-3</v>
      </c>
      <c r="F518" s="6">
        <f t="shared" si="44"/>
        <v>-8.8167780760788073E-2</v>
      </c>
      <c r="G518" s="4">
        <f t="shared" si="47"/>
        <v>1.7415378491640078E-2</v>
      </c>
      <c r="H518" s="4">
        <f t="shared" si="45"/>
        <v>-5.0626393680224258</v>
      </c>
      <c r="I518" s="4">
        <f t="shared" si="46"/>
        <v>-13.734097218529925</v>
      </c>
    </row>
    <row r="519" spans="1:9" x14ac:dyDescent="0.25">
      <c r="A519" s="3">
        <v>40931</v>
      </c>
      <c r="B519" s="4" t="s">
        <v>0</v>
      </c>
      <c r="C519" s="4">
        <v>291.66724809999999</v>
      </c>
      <c r="D519" s="6">
        <f t="shared" si="48"/>
        <v>-8.0209076230153221E-4</v>
      </c>
      <c r="E519" s="4">
        <f t="shared" ref="E519:E582" si="49">+$M$16*D518+$M$17*D517+$M$18*D516</f>
        <v>6.130619506382929E-3</v>
      </c>
      <c r="F519" s="6">
        <f t="shared" ref="F519:F582" si="50">D519-E519</f>
        <v>-6.9327102686844609E-3</v>
      </c>
      <c r="G519" s="4">
        <f t="shared" si="47"/>
        <v>0.17423802526956936</v>
      </c>
      <c r="H519" s="4">
        <f t="shared" ref="H519:H582" si="51">F519/G519</f>
        <v>-3.9788733015991416E-2</v>
      </c>
      <c r="I519" s="4">
        <f t="shared" ref="I519:I582" si="52">LN(_xlfn.NORM.DIST(H519,0,1,FALSE))</f>
        <v>-0.91973010484218165</v>
      </c>
    </row>
    <row r="520" spans="1:9" x14ac:dyDescent="0.25">
      <c r="A520" s="3">
        <v>40932</v>
      </c>
      <c r="B520" s="4" t="s">
        <v>0</v>
      </c>
      <c r="C520" s="4">
        <v>289.38083660000001</v>
      </c>
      <c r="D520" s="6">
        <f t="shared" si="48"/>
        <v>-7.8391095157042609E-3</v>
      </c>
      <c r="E520" s="4">
        <f t="shared" si="49"/>
        <v>-2.8802846515563904E-2</v>
      </c>
      <c r="F520" s="6">
        <f t="shared" si="50"/>
        <v>2.0963736999859643E-2</v>
      </c>
      <c r="G520" s="4">
        <f t="shared" ref="G520:G583" si="53">SQRT($M$12 + $M$13 *H519^2+$M$14*G519^2)</f>
        <v>6.6713318046681166E-2</v>
      </c>
      <c r="H520" s="4">
        <f t="shared" si="51"/>
        <v>0.31423616173896091</v>
      </c>
      <c r="I520" s="4">
        <f t="shared" si="52"/>
        <v>-0.96831071587688977</v>
      </c>
    </row>
    <row r="521" spans="1:9" x14ac:dyDescent="0.25">
      <c r="A521" s="3">
        <v>40933</v>
      </c>
      <c r="B521" s="4" t="s">
        <v>0</v>
      </c>
      <c r="C521" s="4">
        <v>283.682188</v>
      </c>
      <c r="D521" s="6">
        <f t="shared" si="48"/>
        <v>-1.9692556932776564E-2</v>
      </c>
      <c r="E521" s="4">
        <f t="shared" si="49"/>
        <v>-2.5963080975895968E-2</v>
      </c>
      <c r="F521" s="6">
        <f t="shared" si="50"/>
        <v>6.2705240431194034E-3</v>
      </c>
      <c r="G521" s="4">
        <f t="shared" si="53"/>
        <v>2.8107820683122339E-2</v>
      </c>
      <c r="H521" s="4">
        <f t="shared" si="51"/>
        <v>0.22308823276664103</v>
      </c>
      <c r="I521" s="4">
        <f t="shared" si="52"/>
        <v>-0.94382271300414422</v>
      </c>
    </row>
    <row r="522" spans="1:9" x14ac:dyDescent="0.25">
      <c r="A522" s="3">
        <v>40934</v>
      </c>
      <c r="B522" s="4" t="s">
        <v>0</v>
      </c>
      <c r="C522" s="4">
        <v>282.98977339999999</v>
      </c>
      <c r="D522" s="6">
        <f t="shared" si="48"/>
        <v>-2.4408109824646672E-3</v>
      </c>
      <c r="E522" s="4">
        <f t="shared" si="49"/>
        <v>-3.242764573503754E-3</v>
      </c>
      <c r="F522" s="6">
        <f t="shared" si="50"/>
        <v>8.0195359103908681E-4</v>
      </c>
      <c r="G522" s="4">
        <f t="shared" si="53"/>
        <v>1.4097199016766938E-2</v>
      </c>
      <c r="H522" s="4">
        <f t="shared" si="51"/>
        <v>5.6887441972356255E-2</v>
      </c>
      <c r="I522" s="4">
        <f t="shared" si="52"/>
        <v>-0.92055662373175173</v>
      </c>
    </row>
    <row r="523" spans="1:9" x14ac:dyDescent="0.25">
      <c r="A523" s="3">
        <v>40935</v>
      </c>
      <c r="B523" s="4" t="s">
        <v>0</v>
      </c>
      <c r="C523" s="4">
        <v>288.90759989999998</v>
      </c>
      <c r="D523" s="6">
        <f t="shared" si="48"/>
        <v>2.0911803380383179E-2</v>
      </c>
      <c r="E523" s="4">
        <f t="shared" si="49"/>
        <v>-9.9288486960596861E-3</v>
      </c>
      <c r="F523" s="6">
        <f t="shared" si="50"/>
        <v>3.0840652076442866E-2</v>
      </c>
      <c r="G523" s="4">
        <f t="shared" si="53"/>
        <v>7.5875003290425532E-3</v>
      </c>
      <c r="H523" s="4">
        <f t="shared" si="51"/>
        <v>4.0646656657653901</v>
      </c>
      <c r="I523" s="4">
        <f t="shared" si="52"/>
        <v>-9.1796920204306733</v>
      </c>
    </row>
    <row r="524" spans="1:9" x14ac:dyDescent="0.25">
      <c r="A524" s="3">
        <v>40938</v>
      </c>
      <c r="B524" s="4" t="s">
        <v>0</v>
      </c>
      <c r="C524" s="4">
        <v>287.76688159999998</v>
      </c>
      <c r="D524" s="6">
        <f t="shared" si="48"/>
        <v>-3.9483845367683018E-3</v>
      </c>
      <c r="E524" s="4">
        <f t="shared" si="49"/>
        <v>-6.9635421957695669E-3</v>
      </c>
      <c r="F524" s="6">
        <f t="shared" si="50"/>
        <v>3.0151576590012651E-3</v>
      </c>
      <c r="G524" s="4">
        <f t="shared" si="53"/>
        <v>0.13985095750139412</v>
      </c>
      <c r="H524" s="4">
        <f t="shared" si="51"/>
        <v>2.1559792745582083E-2</v>
      </c>
      <c r="I524" s="4">
        <f t="shared" si="52"/>
        <v>-0.91917094553628897</v>
      </c>
    </row>
    <row r="525" spans="1:9" x14ac:dyDescent="0.25">
      <c r="A525" s="3">
        <v>40939</v>
      </c>
      <c r="B525" s="4" t="s">
        <v>0</v>
      </c>
      <c r="C525" s="4">
        <v>288.97235819999997</v>
      </c>
      <c r="D525" s="6">
        <f t="shared" si="48"/>
        <v>4.1890734378378768E-3</v>
      </c>
      <c r="E525" s="4">
        <f t="shared" si="49"/>
        <v>7.2465650958323099E-3</v>
      </c>
      <c r="F525" s="6">
        <f t="shared" si="50"/>
        <v>-3.0574916579944331E-3</v>
      </c>
      <c r="G525" s="4">
        <f t="shared" si="53"/>
        <v>5.3623146042629327E-2</v>
      </c>
      <c r="H525" s="4">
        <f t="shared" si="51"/>
        <v>-5.7018132721339931E-2</v>
      </c>
      <c r="I525" s="4">
        <f t="shared" si="52"/>
        <v>-0.9205640669341868</v>
      </c>
    </row>
    <row r="526" spans="1:9" x14ac:dyDescent="0.25">
      <c r="A526" s="3">
        <v>40940</v>
      </c>
      <c r="B526" s="4" t="s">
        <v>0</v>
      </c>
      <c r="C526" s="4">
        <v>289.33100139999999</v>
      </c>
      <c r="D526" s="6">
        <f t="shared" si="48"/>
        <v>1.2410986373713902E-3</v>
      </c>
      <c r="E526" s="4">
        <f t="shared" si="49"/>
        <v>4.8949844767850045E-3</v>
      </c>
      <c r="F526" s="6">
        <f t="shared" si="50"/>
        <v>-3.6538858394136141E-3</v>
      </c>
      <c r="G526" s="4">
        <f t="shared" si="53"/>
        <v>2.1157693168855018E-2</v>
      </c>
      <c r="H526" s="4">
        <f t="shared" si="51"/>
        <v>-0.17269774215235723</v>
      </c>
      <c r="I526" s="4">
        <f t="shared" si="52"/>
        <v>-0.93385078827693357</v>
      </c>
    </row>
    <row r="527" spans="1:9" x14ac:dyDescent="0.25">
      <c r="A527" s="3">
        <v>40941</v>
      </c>
      <c r="B527" s="4" t="s">
        <v>0</v>
      </c>
      <c r="C527" s="4">
        <v>291.46302400000002</v>
      </c>
      <c r="D527" s="6">
        <f t="shared" si="48"/>
        <v>7.3688010952290151E-3</v>
      </c>
      <c r="E527" s="4">
        <f t="shared" si="49"/>
        <v>3.9221903812753246E-4</v>
      </c>
      <c r="F527" s="6">
        <f t="shared" si="50"/>
        <v>6.9765820571014827E-3</v>
      </c>
      <c r="G527" s="4">
        <f t="shared" si="53"/>
        <v>1.1192200354890495E-2</v>
      </c>
      <c r="H527" s="4">
        <f t="shared" si="51"/>
        <v>0.62334320650836328</v>
      </c>
      <c r="I527" s="4">
        <f t="shared" si="52"/>
        <v>-1.1132169097547366</v>
      </c>
    </row>
    <row r="528" spans="1:9" x14ac:dyDescent="0.25">
      <c r="A528" s="3">
        <v>40942</v>
      </c>
      <c r="B528" s="4" t="s">
        <v>0</v>
      </c>
      <c r="C528" s="4">
        <v>297.05208390000001</v>
      </c>
      <c r="D528" s="6">
        <f t="shared" si="48"/>
        <v>1.917587975070208E-2</v>
      </c>
      <c r="E528" s="4">
        <f t="shared" si="49"/>
        <v>1.757506599715987E-3</v>
      </c>
      <c r="F528" s="6">
        <f t="shared" si="50"/>
        <v>1.7418373150986093E-2</v>
      </c>
      <c r="G528" s="4">
        <f t="shared" si="53"/>
        <v>2.2410628758912948E-2</v>
      </c>
      <c r="H528" s="4">
        <f t="shared" si="51"/>
        <v>0.77723714664001198</v>
      </c>
      <c r="I528" s="4">
        <f t="shared" si="52"/>
        <v>-1.2209873242632263</v>
      </c>
    </row>
    <row r="529" spans="1:9" x14ac:dyDescent="0.25">
      <c r="A529" s="3">
        <v>40945</v>
      </c>
      <c r="B529" s="4" t="s">
        <v>0</v>
      </c>
      <c r="C529" s="4">
        <v>303.40826579999998</v>
      </c>
      <c r="D529" s="6">
        <f t="shared" si="48"/>
        <v>2.1397533444470703E-2</v>
      </c>
      <c r="E529" s="4">
        <f t="shared" si="49"/>
        <v>3.1974122379378666E-3</v>
      </c>
      <c r="F529" s="6">
        <f t="shared" si="50"/>
        <v>1.8200121206532836E-2</v>
      </c>
      <c r="G529" s="4">
        <f t="shared" si="53"/>
        <v>2.849378902380172E-2</v>
      </c>
      <c r="H529" s="4">
        <f t="shared" si="51"/>
        <v>0.63873994403937384</v>
      </c>
      <c r="I529" s="4">
        <f t="shared" si="52"/>
        <v>-1.122932891260384</v>
      </c>
    </row>
    <row r="530" spans="1:9" x14ac:dyDescent="0.25">
      <c r="A530" s="3">
        <v>40946</v>
      </c>
      <c r="B530" s="4" t="s">
        <v>0</v>
      </c>
      <c r="C530" s="4">
        <v>302.25259360000001</v>
      </c>
      <c r="D530" s="6">
        <f t="shared" si="48"/>
        <v>-3.808967422007425E-3</v>
      </c>
      <c r="E530" s="4">
        <f t="shared" si="49"/>
        <v>9.587679890292071E-3</v>
      </c>
      <c r="F530" s="6">
        <f t="shared" si="50"/>
        <v>-1.3396647312299496E-2</v>
      </c>
      <c r="G530" s="4">
        <f t="shared" si="53"/>
        <v>2.5005186291140701E-2</v>
      </c>
      <c r="H530" s="4">
        <f t="shared" si="51"/>
        <v>-0.53575474928758715</v>
      </c>
      <c r="I530" s="4">
        <f t="shared" si="52"/>
        <v>-1.0624551088967753</v>
      </c>
    </row>
    <row r="531" spans="1:9" x14ac:dyDescent="0.25">
      <c r="A531" s="3">
        <v>40947</v>
      </c>
      <c r="B531" s="4" t="s">
        <v>0</v>
      </c>
      <c r="C531" s="4">
        <v>303.78686720000002</v>
      </c>
      <c r="D531" s="6">
        <f t="shared" si="48"/>
        <v>5.0761304699686316E-3</v>
      </c>
      <c r="E531" s="4">
        <f t="shared" si="49"/>
        <v>1.4052411748673067E-2</v>
      </c>
      <c r="F531" s="6">
        <f t="shared" si="50"/>
        <v>-8.9762812787044354E-3</v>
      </c>
      <c r="G531" s="4">
        <f t="shared" si="53"/>
        <v>2.1333463849350857E-2</v>
      </c>
      <c r="H531" s="4">
        <f t="shared" si="51"/>
        <v>-0.42076061075180576</v>
      </c>
      <c r="I531" s="4">
        <f t="shared" si="52"/>
        <v>-1.007458278984789</v>
      </c>
    </row>
    <row r="532" spans="1:9" x14ac:dyDescent="0.25">
      <c r="A532" s="3">
        <v>40948</v>
      </c>
      <c r="B532" s="4" t="s">
        <v>0</v>
      </c>
      <c r="C532" s="4">
        <v>304.58884030000002</v>
      </c>
      <c r="D532" s="6">
        <f t="shared" si="48"/>
        <v>2.6399202420821365E-3</v>
      </c>
      <c r="E532" s="4">
        <f t="shared" si="49"/>
        <v>5.0970543901682009E-3</v>
      </c>
      <c r="F532" s="6">
        <f t="shared" si="50"/>
        <v>-2.4571341480860644E-3</v>
      </c>
      <c r="G532" s="4">
        <f t="shared" si="53"/>
        <v>1.7330099956893389E-2</v>
      </c>
      <c r="H532" s="4">
        <f t="shared" si="51"/>
        <v>-0.14178418786953914</v>
      </c>
      <c r="I532" s="4">
        <f t="shared" si="52"/>
        <v>-0.92898991116958507</v>
      </c>
    </row>
    <row r="533" spans="1:9" x14ac:dyDescent="0.25">
      <c r="A533" s="3">
        <v>40949</v>
      </c>
      <c r="B533" s="4" t="s">
        <v>0</v>
      </c>
      <c r="C533" s="4">
        <v>301.82421770000002</v>
      </c>
      <c r="D533" s="6">
        <f t="shared" si="48"/>
        <v>-9.0765721990241788E-3</v>
      </c>
      <c r="E533" s="4">
        <f t="shared" si="49"/>
        <v>7.7404728242735639E-4</v>
      </c>
      <c r="F533" s="6">
        <f t="shared" si="50"/>
        <v>-9.8506194814515346E-3</v>
      </c>
      <c r="G533" s="4">
        <f t="shared" si="53"/>
        <v>9.6077470059611376E-3</v>
      </c>
      <c r="H533" s="4">
        <f t="shared" si="51"/>
        <v>-1.0252788167027822</v>
      </c>
      <c r="I533" s="4">
        <f t="shared" si="52"/>
        <v>-1.4445368591944014</v>
      </c>
    </row>
    <row r="534" spans="1:9" x14ac:dyDescent="0.25">
      <c r="A534" s="3">
        <v>40952</v>
      </c>
      <c r="B534" s="4" t="s">
        <v>0</v>
      </c>
      <c r="C534" s="4">
        <v>304.95746259999999</v>
      </c>
      <c r="D534" s="6">
        <f t="shared" si="48"/>
        <v>1.0381025498471674E-2</v>
      </c>
      <c r="E534" s="4">
        <f t="shared" si="49"/>
        <v>2.5635812963934268E-3</v>
      </c>
      <c r="F534" s="6">
        <f t="shared" si="50"/>
        <v>7.8174442020782463E-3</v>
      </c>
      <c r="G534" s="4">
        <f t="shared" si="53"/>
        <v>3.5784654420280518E-2</v>
      </c>
      <c r="H534" s="4">
        <f t="shared" si="51"/>
        <v>0.21845800465933254</v>
      </c>
      <c r="I534" s="4">
        <f t="shared" si="52"/>
        <v>-0.94280048310454123</v>
      </c>
    </row>
    <row r="535" spans="1:9" x14ac:dyDescent="0.25">
      <c r="A535" s="3">
        <v>40953</v>
      </c>
      <c r="B535" s="4" t="s">
        <v>0</v>
      </c>
      <c r="C535" s="4">
        <v>303.74203679999999</v>
      </c>
      <c r="D535" s="6">
        <f t="shared" si="48"/>
        <v>-3.9855584763774576E-3</v>
      </c>
      <c r="E535" s="4">
        <f t="shared" si="49"/>
        <v>-2.6610958793214191E-3</v>
      </c>
      <c r="F535" s="6">
        <f t="shared" si="50"/>
        <v>-1.3244625970560385E-3</v>
      </c>
      <c r="G535" s="4">
        <f t="shared" si="53"/>
        <v>1.63643264065788E-2</v>
      </c>
      <c r="H535" s="4">
        <f t="shared" si="51"/>
        <v>-8.093596791882475E-2</v>
      </c>
      <c r="I535" s="4">
        <f t="shared" si="52"/>
        <v>-0.92221384865615119</v>
      </c>
    </row>
    <row r="536" spans="1:9" x14ac:dyDescent="0.25">
      <c r="A536" s="3">
        <v>40954</v>
      </c>
      <c r="B536" s="4" t="s">
        <v>0</v>
      </c>
      <c r="C536" s="4">
        <v>301.64987020000001</v>
      </c>
      <c r="D536" s="6">
        <f t="shared" si="48"/>
        <v>-6.8879718528310884E-3</v>
      </c>
      <c r="E536" s="4">
        <f t="shared" si="49"/>
        <v>1.1886502752872087E-3</v>
      </c>
      <c r="F536" s="6">
        <f t="shared" si="50"/>
        <v>-8.0766221281182975E-3</v>
      </c>
      <c r="G536" s="4">
        <f t="shared" si="53"/>
        <v>8.4587753425693652E-3</v>
      </c>
      <c r="H536" s="4">
        <f t="shared" si="51"/>
        <v>-0.95482168529434097</v>
      </c>
      <c r="I536" s="4">
        <f t="shared" si="52"/>
        <v>-1.3747807585588356</v>
      </c>
    </row>
    <row r="537" spans="1:9" x14ac:dyDescent="0.25">
      <c r="A537" s="3">
        <v>40955</v>
      </c>
      <c r="B537" s="4" t="s">
        <v>0</v>
      </c>
      <c r="C537" s="4">
        <v>302.12808180000002</v>
      </c>
      <c r="D537" s="6">
        <f t="shared" si="48"/>
        <v>1.5853200920754407E-3</v>
      </c>
      <c r="E537" s="4">
        <f t="shared" si="49"/>
        <v>1.6554780880892737E-3</v>
      </c>
      <c r="F537" s="6">
        <f t="shared" si="50"/>
        <v>-7.0157996013832987E-5</v>
      </c>
      <c r="G537" s="4">
        <f t="shared" si="53"/>
        <v>3.3356274764293044E-2</v>
      </c>
      <c r="H537" s="4">
        <f t="shared" si="51"/>
        <v>-2.103292304359333E-3</v>
      </c>
      <c r="I537" s="4">
        <f t="shared" si="52"/>
        <v>-0.91894074512393153</v>
      </c>
    </row>
    <row r="538" spans="1:9" x14ac:dyDescent="0.25">
      <c r="A538" s="3">
        <v>40956</v>
      </c>
      <c r="B538" s="4" t="s">
        <v>0</v>
      </c>
      <c r="C538" s="4">
        <v>301.19158700000003</v>
      </c>
      <c r="D538" s="6">
        <f t="shared" si="48"/>
        <v>-3.0996615555250622E-3</v>
      </c>
      <c r="E538" s="4">
        <f t="shared" si="49"/>
        <v>-3.8536828814170277E-3</v>
      </c>
      <c r="F538" s="6">
        <f t="shared" si="50"/>
        <v>7.5402132589196544E-4</v>
      </c>
      <c r="G538" s="4">
        <f t="shared" si="53"/>
        <v>1.3672206629585213E-2</v>
      </c>
      <c r="H538" s="4">
        <f t="shared" si="51"/>
        <v>5.5149936387030814E-2</v>
      </c>
      <c r="I538" s="4">
        <f t="shared" si="52"/>
        <v>-0.92045929094641943</v>
      </c>
    </row>
    <row r="539" spans="1:9" x14ac:dyDescent="0.25">
      <c r="A539" s="3">
        <v>40960</v>
      </c>
      <c r="B539" s="4" t="s">
        <v>0</v>
      </c>
      <c r="C539" s="4">
        <v>305.8541012</v>
      </c>
      <c r="D539" s="6">
        <f t="shared" si="48"/>
        <v>1.5480227208338243E-2</v>
      </c>
      <c r="E539" s="4">
        <f t="shared" si="49"/>
        <v>-1.5034836867964421E-3</v>
      </c>
      <c r="F539" s="6">
        <f t="shared" si="50"/>
        <v>1.6983710895134684E-2</v>
      </c>
      <c r="G539" s="4">
        <f t="shared" si="53"/>
        <v>7.4579022146928084E-3</v>
      </c>
      <c r="H539" s="4">
        <f t="shared" si="51"/>
        <v>2.2772772297382882</v>
      </c>
      <c r="I539" s="4">
        <f t="shared" si="52"/>
        <v>-3.5119343237469187</v>
      </c>
    </row>
    <row r="540" spans="1:9" x14ac:dyDescent="0.25">
      <c r="A540" s="3">
        <v>40961</v>
      </c>
      <c r="B540" s="4" t="s">
        <v>0</v>
      </c>
      <c r="C540" s="4">
        <v>302.835419</v>
      </c>
      <c r="D540" s="6">
        <f t="shared" si="48"/>
        <v>-9.8696803088674772E-3</v>
      </c>
      <c r="E540" s="4">
        <f t="shared" si="49"/>
        <v>-6.9911880125176902E-4</v>
      </c>
      <c r="F540" s="6">
        <f t="shared" si="50"/>
        <v>-9.1705615076157088E-3</v>
      </c>
      <c r="G540" s="4">
        <f t="shared" si="53"/>
        <v>7.8496466850607349E-2</v>
      </c>
      <c r="H540" s="4">
        <f t="shared" si="51"/>
        <v>-0.11682769780032148</v>
      </c>
      <c r="I540" s="4">
        <f t="shared" si="52"/>
        <v>-0.92576288869133427</v>
      </c>
    </row>
    <row r="541" spans="1:9" x14ac:dyDescent="0.25">
      <c r="A541" s="3">
        <v>40962</v>
      </c>
      <c r="B541" s="4" t="s">
        <v>0</v>
      </c>
      <c r="C541" s="4">
        <v>301.92382689999999</v>
      </c>
      <c r="D541" s="6">
        <f t="shared" si="48"/>
        <v>-3.0101898351592984E-3</v>
      </c>
      <c r="E541" s="4">
        <f t="shared" si="49"/>
        <v>4.9682935363326089E-3</v>
      </c>
      <c r="F541" s="6">
        <f t="shared" si="50"/>
        <v>-7.9784833714919082E-3</v>
      </c>
      <c r="G541" s="4">
        <f t="shared" si="53"/>
        <v>3.0640185559590642E-2</v>
      </c>
      <c r="H541" s="4">
        <f t="shared" si="51"/>
        <v>-0.2603927889397058</v>
      </c>
      <c r="I541" s="4">
        <f t="shared" si="52"/>
        <v>-0.9528407354705718</v>
      </c>
    </row>
    <row r="542" spans="1:9" x14ac:dyDescent="0.25">
      <c r="A542" s="3">
        <v>40963</v>
      </c>
      <c r="B542" s="4" t="s">
        <v>0</v>
      </c>
      <c r="C542" s="4">
        <v>303.8117699</v>
      </c>
      <c r="D542" s="6">
        <f t="shared" si="48"/>
        <v>6.2530440852729104E-3</v>
      </c>
      <c r="E542" s="4">
        <f t="shared" si="49"/>
        <v>9.6781995984961209E-4</v>
      </c>
      <c r="F542" s="6">
        <f t="shared" si="50"/>
        <v>5.2852241254232983E-3</v>
      </c>
      <c r="G542" s="4">
        <f t="shared" si="53"/>
        <v>1.5547525035216543E-2</v>
      </c>
      <c r="H542" s="4">
        <f t="shared" si="51"/>
        <v>0.33993990126735862</v>
      </c>
      <c r="I542" s="4">
        <f t="shared" si="52"/>
        <v>-0.97671810144150339</v>
      </c>
    </row>
    <row r="543" spans="1:9" x14ac:dyDescent="0.25">
      <c r="A543" s="3">
        <v>40966</v>
      </c>
      <c r="B543" s="4" t="s">
        <v>0</v>
      </c>
      <c r="C543" s="4">
        <v>303.51785460000002</v>
      </c>
      <c r="D543" s="6">
        <f t="shared" si="48"/>
        <v>-9.6742565337979867E-4</v>
      </c>
      <c r="E543" s="4">
        <f t="shared" si="49"/>
        <v>-4.1732193796333444E-3</v>
      </c>
      <c r="F543" s="6">
        <f t="shared" si="50"/>
        <v>3.2057937262535458E-3</v>
      </c>
      <c r="G543" s="4">
        <f t="shared" si="53"/>
        <v>1.4020653979717251E-2</v>
      </c>
      <c r="H543" s="4">
        <f t="shared" si="51"/>
        <v>0.22864794544470998</v>
      </c>
      <c r="I543" s="4">
        <f t="shared" si="52"/>
        <v>-0.94507847468271622</v>
      </c>
    </row>
    <row r="544" spans="1:9" x14ac:dyDescent="0.25">
      <c r="A544" s="3">
        <v>40967</v>
      </c>
      <c r="B544" s="4" t="s">
        <v>0</v>
      </c>
      <c r="C544" s="4">
        <v>308.04090309999998</v>
      </c>
      <c r="D544" s="6">
        <f t="shared" si="48"/>
        <v>1.4902083786671436E-2</v>
      </c>
      <c r="E544" s="4">
        <f t="shared" si="49"/>
        <v>1.4685121535606292E-3</v>
      </c>
      <c r="F544" s="6">
        <f t="shared" si="50"/>
        <v>1.3433571633110807E-2</v>
      </c>
      <c r="G544" s="4">
        <f t="shared" si="53"/>
        <v>1.0733888592309867E-2</v>
      </c>
      <c r="H544" s="4">
        <f t="shared" si="51"/>
        <v>1.2515102534914595</v>
      </c>
      <c r="I544" s="4">
        <f t="shared" si="52"/>
        <v>-1.7020774905018012</v>
      </c>
    </row>
    <row r="545" spans="1:9" x14ac:dyDescent="0.25">
      <c r="A545" s="3">
        <v>40968</v>
      </c>
      <c r="B545" s="4" t="s">
        <v>0</v>
      </c>
      <c r="C545" s="4">
        <v>307.97116990000001</v>
      </c>
      <c r="D545" s="6">
        <f t="shared" si="48"/>
        <v>-2.2637643020198409E-4</v>
      </c>
      <c r="E545" s="4">
        <f t="shared" si="49"/>
        <v>1.5454799058851408E-3</v>
      </c>
      <c r="F545" s="6">
        <f t="shared" si="50"/>
        <v>-1.7718563360871247E-3</v>
      </c>
      <c r="G545" s="4">
        <f t="shared" si="53"/>
        <v>4.3504053228772786E-2</v>
      </c>
      <c r="H545" s="4">
        <f t="shared" si="51"/>
        <v>-4.0728534575147385E-2</v>
      </c>
      <c r="I545" s="4">
        <f t="shared" si="52"/>
        <v>-0.9197679399689922</v>
      </c>
    </row>
    <row r="546" spans="1:9" x14ac:dyDescent="0.25">
      <c r="A546" s="3">
        <v>40969</v>
      </c>
      <c r="B546" s="4" t="s">
        <v>0</v>
      </c>
      <c r="C546" s="4">
        <v>310.03843430000001</v>
      </c>
      <c r="D546" s="6">
        <f t="shared" si="48"/>
        <v>6.7125257233371927E-3</v>
      </c>
      <c r="E546" s="4">
        <f t="shared" si="49"/>
        <v>5.4004761508841563E-3</v>
      </c>
      <c r="F546" s="6">
        <f t="shared" si="50"/>
        <v>1.3120495724530364E-3</v>
      </c>
      <c r="G546" s="4">
        <f t="shared" si="53"/>
        <v>1.7393771515606976E-2</v>
      </c>
      <c r="H546" s="4">
        <f t="shared" si="51"/>
        <v>7.543214944934562E-2</v>
      </c>
      <c r="I546" s="4">
        <f t="shared" si="52"/>
        <v>-0.92178353778994682</v>
      </c>
    </row>
    <row r="547" spans="1:9" x14ac:dyDescent="0.25">
      <c r="A547" s="3">
        <v>40970</v>
      </c>
      <c r="B547" s="4" t="s">
        <v>0</v>
      </c>
      <c r="C547" s="4">
        <v>309.46558800000003</v>
      </c>
      <c r="D547" s="6">
        <f t="shared" si="48"/>
        <v>-1.8476622141811035E-3</v>
      </c>
      <c r="E547" s="4">
        <f t="shared" si="49"/>
        <v>4.4773913718228735E-3</v>
      </c>
      <c r="F547" s="6">
        <f t="shared" si="50"/>
        <v>-6.3250535860039769E-3</v>
      </c>
      <c r="G547" s="4">
        <f t="shared" si="53"/>
        <v>8.6947112589327389E-3</v>
      </c>
      <c r="H547" s="4">
        <f t="shared" si="51"/>
        <v>-0.72745987734851658</v>
      </c>
      <c r="I547" s="4">
        <f t="shared" si="52"/>
        <v>-1.1835374697806322</v>
      </c>
    </row>
    <row r="548" spans="1:9" x14ac:dyDescent="0.25">
      <c r="A548" s="3">
        <v>40973</v>
      </c>
      <c r="B548" s="4" t="s">
        <v>0</v>
      </c>
      <c r="C548" s="4">
        <v>305.97864340000001</v>
      </c>
      <c r="D548" s="6">
        <f t="shared" si="48"/>
        <v>-1.1267632768267647E-2</v>
      </c>
      <c r="E548" s="4">
        <f t="shared" si="49"/>
        <v>2.4966938430352691E-3</v>
      </c>
      <c r="F548" s="6">
        <f t="shared" si="50"/>
        <v>-1.3764326611302917E-2</v>
      </c>
      <c r="G548" s="4">
        <f t="shared" si="53"/>
        <v>2.5713969589145399E-2</v>
      </c>
      <c r="H548" s="4">
        <f t="shared" si="51"/>
        <v>-0.53528594889189074</v>
      </c>
      <c r="I548" s="4">
        <f t="shared" si="52"/>
        <v>-1.0622040567452187</v>
      </c>
    </row>
    <row r="549" spans="1:9" x14ac:dyDescent="0.25">
      <c r="A549" s="3">
        <v>40974</v>
      </c>
      <c r="B549" s="4" t="s">
        <v>0</v>
      </c>
      <c r="C549" s="4">
        <v>301.35098049999999</v>
      </c>
      <c r="D549" s="6">
        <f t="shared" si="48"/>
        <v>-1.5124136928571069E-2</v>
      </c>
      <c r="E549" s="4">
        <f t="shared" si="49"/>
        <v>1.3491776325540797E-3</v>
      </c>
      <c r="F549" s="6">
        <f t="shared" si="50"/>
        <v>-1.6473314561125149E-2</v>
      </c>
      <c r="G549" s="4">
        <f t="shared" si="53"/>
        <v>2.1442059106646774E-2</v>
      </c>
      <c r="H549" s="4">
        <f t="shared" si="51"/>
        <v>-0.76827111049323726</v>
      </c>
      <c r="I549" s="4">
        <f t="shared" si="52"/>
        <v>-1.2140587828139286</v>
      </c>
    </row>
    <row r="550" spans="1:9" x14ac:dyDescent="0.25">
      <c r="A550" s="3">
        <v>40975</v>
      </c>
      <c r="B550" s="4" t="s">
        <v>0</v>
      </c>
      <c r="C550" s="4">
        <v>302.26754699999998</v>
      </c>
      <c r="D550" s="6">
        <f t="shared" si="48"/>
        <v>3.0415248640612525E-3</v>
      </c>
      <c r="E550" s="4">
        <f t="shared" si="49"/>
        <v>-4.8735349597320617E-3</v>
      </c>
      <c r="F550" s="6">
        <f t="shared" si="50"/>
        <v>7.9150598237933134E-3</v>
      </c>
      <c r="G550" s="4">
        <f t="shared" si="53"/>
        <v>2.8095020719198331E-2</v>
      </c>
      <c r="H550" s="4">
        <f t="shared" si="51"/>
        <v>0.28172464804002334</v>
      </c>
      <c r="I550" s="4">
        <f t="shared" si="52"/>
        <v>-0.95862292186131026</v>
      </c>
    </row>
    <row r="551" spans="1:9" x14ac:dyDescent="0.25">
      <c r="A551" s="3">
        <v>40976</v>
      </c>
      <c r="B551" s="4" t="s">
        <v>0</v>
      </c>
      <c r="C551" s="4">
        <v>302.43692019999997</v>
      </c>
      <c r="D551" s="6">
        <f t="shared" si="48"/>
        <v>5.6034199397527601E-4</v>
      </c>
      <c r="E551" s="4">
        <f t="shared" si="49"/>
        <v>-9.2323198558657837E-3</v>
      </c>
      <c r="F551" s="6">
        <f t="shared" si="50"/>
        <v>9.7926618498410598E-3</v>
      </c>
      <c r="G551" s="4">
        <f t="shared" si="53"/>
        <v>1.528423886748739E-2</v>
      </c>
      <c r="H551" s="4">
        <f t="shared" si="51"/>
        <v>0.64070327183069586</v>
      </c>
      <c r="I551" s="4">
        <f t="shared" si="52"/>
        <v>-1.1241888744719519</v>
      </c>
    </row>
    <row r="552" spans="1:9" x14ac:dyDescent="0.25">
      <c r="A552" s="3">
        <v>40977</v>
      </c>
      <c r="B552" s="4" t="s">
        <v>0</v>
      </c>
      <c r="C552" s="4">
        <v>299.00478520000001</v>
      </c>
      <c r="D552" s="6">
        <f t="shared" si="48"/>
        <v>-1.134826726092273E-2</v>
      </c>
      <c r="E552" s="4">
        <f t="shared" si="49"/>
        <v>-3.4690774397246422E-3</v>
      </c>
      <c r="F552" s="6">
        <f t="shared" si="50"/>
        <v>-7.8791898211980869E-3</v>
      </c>
      <c r="G552" s="4">
        <f t="shared" si="53"/>
        <v>2.332290080189112E-2</v>
      </c>
      <c r="H552" s="4">
        <f t="shared" si="51"/>
        <v>-0.33783061069998671</v>
      </c>
      <c r="I552" s="4">
        <f t="shared" si="52"/>
        <v>-0.97600329396763563</v>
      </c>
    </row>
    <row r="553" spans="1:9" x14ac:dyDescent="0.25">
      <c r="A553" s="3">
        <v>40980</v>
      </c>
      <c r="B553" s="4" t="s">
        <v>0</v>
      </c>
      <c r="C553" s="4">
        <v>301.44561579999998</v>
      </c>
      <c r="D553" s="6">
        <f t="shared" si="48"/>
        <v>8.1631823997978265E-3</v>
      </c>
      <c r="E553" s="4">
        <f t="shared" si="49"/>
        <v>1.1454538497427868E-3</v>
      </c>
      <c r="F553" s="6">
        <f t="shared" si="50"/>
        <v>7.0177285500550397E-3</v>
      </c>
      <c r="G553" s="4">
        <f t="shared" si="53"/>
        <v>1.5457412853634372E-2</v>
      </c>
      <c r="H553" s="4">
        <f t="shared" si="51"/>
        <v>0.45400408312216489</v>
      </c>
      <c r="I553" s="4">
        <f t="shared" si="52"/>
        <v>-1.0219983869504716</v>
      </c>
    </row>
    <row r="554" spans="1:9" x14ac:dyDescent="0.25">
      <c r="A554" s="3">
        <v>40981</v>
      </c>
      <c r="B554" s="4" t="s">
        <v>0</v>
      </c>
      <c r="C554" s="4">
        <v>307.7370694</v>
      </c>
      <c r="D554" s="6">
        <f t="shared" si="48"/>
        <v>2.0870940794090697E-2</v>
      </c>
      <c r="E554" s="4">
        <f t="shared" si="49"/>
        <v>-4.1664374852741718E-3</v>
      </c>
      <c r="F554" s="6">
        <f t="shared" si="50"/>
        <v>2.5037378279364871E-2</v>
      </c>
      <c r="G554" s="4">
        <f t="shared" si="53"/>
        <v>1.7412526246495481E-2</v>
      </c>
      <c r="H554" s="4">
        <f t="shared" si="51"/>
        <v>1.4378946469300513</v>
      </c>
      <c r="I554" s="4">
        <f t="shared" si="52"/>
        <v>-1.9527090410397212</v>
      </c>
    </row>
    <row r="555" spans="1:9" x14ac:dyDescent="0.25">
      <c r="A555" s="3">
        <v>40982</v>
      </c>
      <c r="B555" s="4" t="s">
        <v>0</v>
      </c>
      <c r="C555" s="4">
        <v>306.84540509999999</v>
      </c>
      <c r="D555" s="6">
        <f t="shared" si="48"/>
        <v>-2.8974874614179393E-3</v>
      </c>
      <c r="E555" s="4">
        <f t="shared" si="49"/>
        <v>-3.543995528954326E-4</v>
      </c>
      <c r="F555" s="6">
        <f t="shared" si="50"/>
        <v>-2.5430879085225067E-3</v>
      </c>
      <c r="G555" s="4">
        <f t="shared" si="53"/>
        <v>5.0123731168649516E-2</v>
      </c>
      <c r="H555" s="4">
        <f t="shared" si="51"/>
        <v>-5.0736205171276458E-2</v>
      </c>
      <c r="I555" s="4">
        <f t="shared" si="52"/>
        <v>-0.92022561446226359</v>
      </c>
    </row>
    <row r="556" spans="1:9" x14ac:dyDescent="0.25">
      <c r="A556" s="3">
        <v>40983</v>
      </c>
      <c r="B556" s="4" t="s">
        <v>0</v>
      </c>
      <c r="C556" s="4">
        <v>309.40580410000001</v>
      </c>
      <c r="D556" s="6">
        <f t="shared" si="48"/>
        <v>8.3442637805366243E-3</v>
      </c>
      <c r="E556" s="4">
        <f t="shared" si="49"/>
        <v>1.0478461627070185E-2</v>
      </c>
      <c r="F556" s="6">
        <f t="shared" si="50"/>
        <v>-2.1341978465335611E-3</v>
      </c>
      <c r="G556" s="4">
        <f t="shared" si="53"/>
        <v>1.9847985551480887E-2</v>
      </c>
      <c r="H556" s="4">
        <f t="shared" si="51"/>
        <v>-0.10752717654887277</v>
      </c>
      <c r="I556" s="4">
        <f t="shared" si="52"/>
        <v>-0.92471958005295884</v>
      </c>
    </row>
    <row r="557" spans="1:9" x14ac:dyDescent="0.25">
      <c r="A557" s="3">
        <v>40984</v>
      </c>
      <c r="B557" s="4" t="s">
        <v>0</v>
      </c>
      <c r="C557" s="4">
        <v>311.35350010000002</v>
      </c>
      <c r="D557" s="6">
        <f t="shared" si="48"/>
        <v>6.29495624901242E-3</v>
      </c>
      <c r="E557" s="4">
        <f t="shared" si="49"/>
        <v>5.2842894350672038E-3</v>
      </c>
      <c r="F557" s="6">
        <f t="shared" si="50"/>
        <v>1.0106668139452163E-3</v>
      </c>
      <c r="G557" s="4">
        <f t="shared" si="53"/>
        <v>9.7906419387039281E-3</v>
      </c>
      <c r="H557" s="4">
        <f t="shared" si="51"/>
        <v>0.10322783942796369</v>
      </c>
      <c r="I557" s="4">
        <f t="shared" si="52"/>
        <v>-0.92426652662115549</v>
      </c>
    </row>
    <row r="558" spans="1:9" x14ac:dyDescent="0.25">
      <c r="A558" s="3">
        <v>40987</v>
      </c>
      <c r="B558" s="4" t="s">
        <v>0</v>
      </c>
      <c r="C558" s="4">
        <v>315.80681600000003</v>
      </c>
      <c r="D558" s="6">
        <f t="shared" si="48"/>
        <v>1.430308603747733E-2</v>
      </c>
      <c r="E558" s="4">
        <f t="shared" si="49"/>
        <v>2.3026025816158951E-3</v>
      </c>
      <c r="F558" s="6">
        <f t="shared" si="50"/>
        <v>1.2000483455861435E-2</v>
      </c>
      <c r="G558" s="4">
        <f t="shared" si="53"/>
        <v>7.1657277932282906E-3</v>
      </c>
      <c r="H558" s="4">
        <f t="shared" si="51"/>
        <v>1.6747054593954926</v>
      </c>
      <c r="I558" s="4">
        <f t="shared" si="52"/>
        <v>-2.3212577210692067</v>
      </c>
    </row>
    <row r="559" spans="1:9" x14ac:dyDescent="0.25">
      <c r="A559" s="3">
        <v>40988</v>
      </c>
      <c r="B559" s="4" t="s">
        <v>0</v>
      </c>
      <c r="C559" s="4">
        <v>315.56273590000001</v>
      </c>
      <c r="D559" s="6">
        <f t="shared" si="48"/>
        <v>-7.7287787227498981E-4</v>
      </c>
      <c r="E559" s="4">
        <f t="shared" si="49"/>
        <v>4.9621662523253425E-3</v>
      </c>
      <c r="F559" s="6">
        <f t="shared" si="50"/>
        <v>-5.7350441246003326E-3</v>
      </c>
      <c r="G559" s="4">
        <f t="shared" si="53"/>
        <v>5.7851445280187985E-2</v>
      </c>
      <c r="H559" s="4">
        <f t="shared" si="51"/>
        <v>-9.9133981818849679E-2</v>
      </c>
      <c r="I559" s="4">
        <f t="shared" si="52"/>
        <v>-0.92385230638030258</v>
      </c>
    </row>
    <row r="560" spans="1:9" x14ac:dyDescent="0.25">
      <c r="A560" s="3">
        <v>40989</v>
      </c>
      <c r="B560" s="4" t="s">
        <v>0</v>
      </c>
      <c r="C560" s="4">
        <v>318.79562120000003</v>
      </c>
      <c r="D560" s="6">
        <f t="shared" si="48"/>
        <v>1.0244825932249818E-2</v>
      </c>
      <c r="E560" s="4">
        <f t="shared" si="49"/>
        <v>7.3956013529892142E-3</v>
      </c>
      <c r="F560" s="6">
        <f t="shared" si="50"/>
        <v>2.8492245792606039E-3</v>
      </c>
      <c r="G560" s="4">
        <f t="shared" si="53"/>
        <v>2.2893375277912013E-2</v>
      </c>
      <c r="H560" s="4">
        <f t="shared" si="51"/>
        <v>0.12445629116164417</v>
      </c>
      <c r="I560" s="4">
        <f t="shared" si="52"/>
        <v>-0.92668321740952864</v>
      </c>
    </row>
    <row r="561" spans="1:9" x14ac:dyDescent="0.25">
      <c r="A561" s="3">
        <v>40990</v>
      </c>
      <c r="B561" s="4" t="s">
        <v>0</v>
      </c>
      <c r="C561" s="4">
        <v>321.81930770000002</v>
      </c>
      <c r="D561" s="6">
        <f t="shared" si="48"/>
        <v>9.4847177907222656E-3</v>
      </c>
      <c r="E561" s="4">
        <f t="shared" si="49"/>
        <v>4.0851014890906957E-3</v>
      </c>
      <c r="F561" s="6">
        <f t="shared" si="50"/>
        <v>5.3996163016315699E-3</v>
      </c>
      <c r="G561" s="4">
        <f t="shared" si="53"/>
        <v>1.0930046579595121E-2</v>
      </c>
      <c r="H561" s="4">
        <f t="shared" si="51"/>
        <v>0.49401585458125163</v>
      </c>
      <c r="I561" s="4">
        <f t="shared" si="52"/>
        <v>-1.0409643654934948</v>
      </c>
    </row>
    <row r="562" spans="1:9" x14ac:dyDescent="0.25">
      <c r="A562" s="3">
        <v>40991</v>
      </c>
      <c r="B562" s="4" t="s">
        <v>0</v>
      </c>
      <c r="C562" s="4">
        <v>320.09576349999998</v>
      </c>
      <c r="D562" s="6">
        <f t="shared" si="48"/>
        <v>-5.3556270825327141E-3</v>
      </c>
      <c r="E562" s="4">
        <f t="shared" si="49"/>
        <v>3.6798781754917849E-3</v>
      </c>
      <c r="F562" s="6">
        <f t="shared" si="50"/>
        <v>-9.0355052580244986E-3</v>
      </c>
      <c r="G562" s="4">
        <f t="shared" si="53"/>
        <v>1.8182823456318629E-2</v>
      </c>
      <c r="H562" s="4">
        <f t="shared" si="51"/>
        <v>-0.49692531414226604</v>
      </c>
      <c r="I562" s="4">
        <f t="shared" si="52"/>
        <v>-1.0424059171223676</v>
      </c>
    </row>
    <row r="563" spans="1:9" x14ac:dyDescent="0.25">
      <c r="A563" s="3">
        <v>40994</v>
      </c>
      <c r="B563" s="4" t="s">
        <v>0</v>
      </c>
      <c r="C563" s="4">
        <v>323.45316059999999</v>
      </c>
      <c r="D563" s="6">
        <f t="shared" si="48"/>
        <v>1.0488727071203536E-2</v>
      </c>
      <c r="E563" s="4">
        <f t="shared" si="49"/>
        <v>6.7632039838235545E-3</v>
      </c>
      <c r="F563" s="6">
        <f t="shared" si="50"/>
        <v>3.7255230873799814E-3</v>
      </c>
      <c r="G563" s="4">
        <f t="shared" si="53"/>
        <v>1.9099522447231187E-2</v>
      </c>
      <c r="H563" s="4">
        <f t="shared" si="51"/>
        <v>0.19505844178423748</v>
      </c>
      <c r="I563" s="4">
        <f t="shared" si="52"/>
        <v>-0.93796243106032018</v>
      </c>
    </row>
    <row r="564" spans="1:9" x14ac:dyDescent="0.25">
      <c r="A564" s="3">
        <v>40995</v>
      </c>
      <c r="B564" s="4" t="s">
        <v>0</v>
      </c>
      <c r="C564" s="4">
        <v>322.30249359999999</v>
      </c>
      <c r="D564" s="6">
        <f t="shared" si="48"/>
        <v>-3.5574455289462351E-3</v>
      </c>
      <c r="E564" s="4">
        <f t="shared" si="49"/>
        <v>8.5758065196320406E-4</v>
      </c>
      <c r="F564" s="6">
        <f t="shared" si="50"/>
        <v>-4.4150261809094392E-3</v>
      </c>
      <c r="G564" s="4">
        <f t="shared" si="53"/>
        <v>1.1086456177385637E-2</v>
      </c>
      <c r="H564" s="4">
        <f t="shared" si="51"/>
        <v>-0.39823601972245137</v>
      </c>
      <c r="I564" s="4">
        <f t="shared" si="52"/>
        <v>-0.99823449690686294</v>
      </c>
    </row>
    <row r="565" spans="1:9" x14ac:dyDescent="0.25">
      <c r="A565" s="3">
        <v>40996</v>
      </c>
      <c r="B565" s="4" t="s">
        <v>0</v>
      </c>
      <c r="C565" s="4">
        <v>326.65616949999998</v>
      </c>
      <c r="D565" s="6">
        <f t="shared" si="48"/>
        <v>1.3508042867962424E-2</v>
      </c>
      <c r="E565" s="4">
        <f t="shared" si="49"/>
        <v>2.3693785836349859E-3</v>
      </c>
      <c r="F565" s="6">
        <f t="shared" si="50"/>
        <v>1.1138664284327438E-2</v>
      </c>
      <c r="G565" s="4">
        <f t="shared" si="53"/>
        <v>1.5169725566076596E-2</v>
      </c>
      <c r="H565" s="4">
        <f t="shared" si="51"/>
        <v>0.73426933373378578</v>
      </c>
      <c r="I565" s="4">
        <f t="shared" si="52"/>
        <v>-1.1885142604356016</v>
      </c>
    </row>
    <row r="566" spans="1:9" x14ac:dyDescent="0.25">
      <c r="A566" s="3">
        <v>40997</v>
      </c>
      <c r="B566" s="4" t="s">
        <v>0</v>
      </c>
      <c r="C566" s="4">
        <v>322.99487740000001</v>
      </c>
      <c r="D566" s="6">
        <f t="shared" si="48"/>
        <v>-1.1208397213510976E-2</v>
      </c>
      <c r="E566" s="4">
        <f t="shared" si="49"/>
        <v>1.8525285385575278E-3</v>
      </c>
      <c r="F566" s="6">
        <f t="shared" si="50"/>
        <v>-1.3060925752068504E-2</v>
      </c>
      <c r="G566" s="4">
        <f t="shared" si="53"/>
        <v>2.6372124973631412E-2</v>
      </c>
      <c r="H566" s="4">
        <f t="shared" si="51"/>
        <v>-0.49525496201491831</v>
      </c>
      <c r="I566" s="4">
        <f t="shared" si="52"/>
        <v>-1.0415772719048717</v>
      </c>
    </row>
    <row r="567" spans="1:9" x14ac:dyDescent="0.25">
      <c r="A567" s="3">
        <v>40998</v>
      </c>
      <c r="B567" s="4" t="s">
        <v>0</v>
      </c>
      <c r="C567" s="4">
        <v>319.42327710000001</v>
      </c>
      <c r="D567" s="6">
        <f t="shared" si="48"/>
        <v>-1.1057761438045642E-2</v>
      </c>
      <c r="E567" s="4">
        <f t="shared" si="49"/>
        <v>4.0741443214283354E-3</v>
      </c>
      <c r="F567" s="6">
        <f t="shared" si="50"/>
        <v>-1.5131905759473978E-2</v>
      </c>
      <c r="G567" s="4">
        <f t="shared" si="53"/>
        <v>2.0396174928410778E-2</v>
      </c>
      <c r="H567" s="4">
        <f t="shared" si="51"/>
        <v>-0.74189919495130652</v>
      </c>
      <c r="I567" s="4">
        <f t="shared" si="52"/>
        <v>-1.194145740939371</v>
      </c>
    </row>
    <row r="568" spans="1:9" x14ac:dyDescent="0.25">
      <c r="A568" s="3">
        <v>41001</v>
      </c>
      <c r="B568" s="4" t="s">
        <v>0</v>
      </c>
      <c r="C568" s="4">
        <v>322.25265839999997</v>
      </c>
      <c r="D568" s="6">
        <f t="shared" si="48"/>
        <v>8.8577805778199056E-3</v>
      </c>
      <c r="E568" s="4">
        <f t="shared" si="49"/>
        <v>-1.4809046004207651E-4</v>
      </c>
      <c r="F568" s="6">
        <f t="shared" si="50"/>
        <v>9.005871037861983E-3</v>
      </c>
      <c r="G568" s="4">
        <f t="shared" si="53"/>
        <v>2.7127240134777509E-2</v>
      </c>
      <c r="H568" s="4">
        <f t="shared" si="51"/>
        <v>0.33198626152596805</v>
      </c>
      <c r="I568" s="4">
        <f t="shared" si="52"/>
        <v>-0.9740459721256669</v>
      </c>
    </row>
    <row r="569" spans="1:9" x14ac:dyDescent="0.25">
      <c r="A569" s="3">
        <v>41002</v>
      </c>
      <c r="B569" s="4" t="s">
        <v>0</v>
      </c>
      <c r="C569" s="4">
        <v>320.11068710000001</v>
      </c>
      <c r="D569" s="6">
        <f t="shared" si="48"/>
        <v>-6.6468692939104278E-3</v>
      </c>
      <c r="E569" s="4">
        <f t="shared" si="49"/>
        <v>-7.6595716708333875E-3</v>
      </c>
      <c r="F569" s="6">
        <f t="shared" si="50"/>
        <v>1.0127023769229597E-3</v>
      </c>
      <c r="G569" s="4">
        <f t="shared" si="53"/>
        <v>1.6194874470239685E-2</v>
      </c>
      <c r="H569" s="4">
        <f t="shared" si="51"/>
        <v>6.2532277035178011E-2</v>
      </c>
      <c r="I569" s="4">
        <f t="shared" si="52"/>
        <v>-0.92089367604027472</v>
      </c>
    </row>
    <row r="570" spans="1:9" x14ac:dyDescent="0.25">
      <c r="A570" s="3">
        <v>41003</v>
      </c>
      <c r="B570" s="4" t="s">
        <v>0</v>
      </c>
      <c r="C570" s="4">
        <v>316.38964149999998</v>
      </c>
      <c r="D570" s="6">
        <f t="shared" si="48"/>
        <v>-1.162424670575775E-2</v>
      </c>
      <c r="E570" s="4">
        <f t="shared" si="49"/>
        <v>-4.5141427994742356E-7</v>
      </c>
      <c r="F570" s="6">
        <f t="shared" si="50"/>
        <v>-1.1623795291477803E-2</v>
      </c>
      <c r="G570" s="4">
        <f t="shared" si="53"/>
        <v>8.2235351807233049E-3</v>
      </c>
      <c r="H570" s="4">
        <f t="shared" si="51"/>
        <v>-1.4134791225463483</v>
      </c>
      <c r="I570" s="4">
        <f t="shared" si="52"/>
        <v>-1.9179001481418703</v>
      </c>
    </row>
    <row r="571" spans="1:9" x14ac:dyDescent="0.25">
      <c r="A571" s="3">
        <v>41004</v>
      </c>
      <c r="B571" s="4" t="s">
        <v>0</v>
      </c>
      <c r="C571" s="4">
        <v>314.97991000000002</v>
      </c>
      <c r="D571" s="6">
        <f t="shared" si="48"/>
        <v>-4.4556815871608238E-3</v>
      </c>
      <c r="E571" s="4">
        <f t="shared" si="49"/>
        <v>1.7152241928100305E-4</v>
      </c>
      <c r="F571" s="6">
        <f t="shared" si="50"/>
        <v>-4.6272040064418273E-3</v>
      </c>
      <c r="G571" s="4">
        <f t="shared" si="53"/>
        <v>4.8946767688157436E-2</v>
      </c>
      <c r="H571" s="4">
        <f t="shared" si="51"/>
        <v>-9.4535435637384674E-2</v>
      </c>
      <c r="I571" s="4">
        <f t="shared" si="52"/>
        <v>-0.92340700750024773</v>
      </c>
    </row>
    <row r="572" spans="1:9" x14ac:dyDescent="0.25">
      <c r="A572" s="3">
        <v>41008</v>
      </c>
      <c r="B572" s="4" t="s">
        <v>0</v>
      </c>
      <c r="C572" s="4">
        <v>314.24269570000001</v>
      </c>
      <c r="D572" s="6">
        <f t="shared" si="48"/>
        <v>-2.3405121298053742E-3</v>
      </c>
      <c r="E572" s="4">
        <f t="shared" si="49"/>
        <v>-6.4794154706070027E-3</v>
      </c>
      <c r="F572" s="6">
        <f t="shared" si="50"/>
        <v>4.1389033408016284E-3</v>
      </c>
      <c r="G572" s="4">
        <f t="shared" si="53"/>
        <v>1.9607915286687386E-2</v>
      </c>
      <c r="H572" s="4">
        <f t="shared" si="51"/>
        <v>0.21108329367435094</v>
      </c>
      <c r="I572" s="4">
        <f t="shared" si="52"/>
        <v>-0.94121661163887882</v>
      </c>
    </row>
    <row r="573" spans="1:9" x14ac:dyDescent="0.25">
      <c r="A573" s="3">
        <v>41009</v>
      </c>
      <c r="B573" s="4" t="s">
        <v>0</v>
      </c>
      <c r="C573" s="4">
        <v>312.26011790000001</v>
      </c>
      <c r="D573" s="6">
        <f t="shared" si="48"/>
        <v>-6.3090656588967176E-3</v>
      </c>
      <c r="E573" s="4">
        <f t="shared" si="49"/>
        <v>-5.2633125477699882E-3</v>
      </c>
      <c r="F573" s="6">
        <f t="shared" si="50"/>
        <v>-1.0457531111267293E-3</v>
      </c>
      <c r="G573" s="4">
        <f t="shared" si="53"/>
        <v>1.1552866630989787E-2</v>
      </c>
      <c r="H573" s="4">
        <f t="shared" si="51"/>
        <v>-9.0518928723851713E-2</v>
      </c>
      <c r="I573" s="4">
        <f t="shared" si="52"/>
        <v>-0.92303537143332948</v>
      </c>
    </row>
    <row r="574" spans="1:9" x14ac:dyDescent="0.25">
      <c r="A574" s="3">
        <v>41010</v>
      </c>
      <c r="B574" s="4" t="s">
        <v>0</v>
      </c>
      <c r="C574" s="4">
        <v>316.79311510000002</v>
      </c>
      <c r="D574" s="6">
        <f t="shared" si="48"/>
        <v>1.4516734415157316E-2</v>
      </c>
      <c r="E574" s="4">
        <f t="shared" si="49"/>
        <v>-2.2594176696435265E-3</v>
      </c>
      <c r="F574" s="6">
        <f t="shared" si="50"/>
        <v>1.6776152084800842E-2</v>
      </c>
      <c r="G574" s="4">
        <f t="shared" si="53"/>
        <v>7.3429330179445203E-3</v>
      </c>
      <c r="H574" s="4">
        <f t="shared" si="51"/>
        <v>2.284666364762364</v>
      </c>
      <c r="I574" s="4">
        <f t="shared" si="52"/>
        <v>-3.5287887323429104</v>
      </c>
    </row>
    <row r="575" spans="1:9" x14ac:dyDescent="0.25">
      <c r="A575" s="3">
        <v>41011</v>
      </c>
      <c r="B575" s="4" t="s">
        <v>0</v>
      </c>
      <c r="C575" s="4">
        <v>324.29004579999997</v>
      </c>
      <c r="D575" s="6">
        <f t="shared" si="48"/>
        <v>2.3665068281655814E-2</v>
      </c>
      <c r="E575" s="4">
        <f t="shared" si="49"/>
        <v>-3.1283213619820692E-3</v>
      </c>
      <c r="F575" s="6">
        <f t="shared" si="50"/>
        <v>2.6793389643637883E-2</v>
      </c>
      <c r="G575" s="4">
        <f t="shared" si="53"/>
        <v>7.874823436258549E-2</v>
      </c>
      <c r="H575" s="4">
        <f t="shared" si="51"/>
        <v>0.3402411477604867</v>
      </c>
      <c r="I575" s="4">
        <f t="shared" si="52"/>
        <v>-0.9768205525193594</v>
      </c>
    </row>
    <row r="576" spans="1:9" x14ac:dyDescent="0.25">
      <c r="A576" s="3">
        <v>41012</v>
      </c>
      <c r="B576" s="4" t="s">
        <v>0</v>
      </c>
      <c r="C576" s="4">
        <v>311.13432269999998</v>
      </c>
      <c r="D576" s="6">
        <f t="shared" si="48"/>
        <v>-4.0567767251522557E-2</v>
      </c>
      <c r="E576" s="4">
        <f t="shared" si="49"/>
        <v>3.6177538589697205E-3</v>
      </c>
      <c r="F576" s="6">
        <f t="shared" si="50"/>
        <v>-4.418552111049228E-2</v>
      </c>
      <c r="G576" s="4">
        <f t="shared" si="53"/>
        <v>3.2638473094053461E-2</v>
      </c>
      <c r="H576" s="4">
        <f t="shared" si="51"/>
        <v>-1.3537864036459053</v>
      </c>
      <c r="I576" s="4">
        <f t="shared" si="52"/>
        <v>-1.8353073465529297</v>
      </c>
    </row>
    <row r="577" spans="1:9" x14ac:dyDescent="0.25">
      <c r="A577" s="3">
        <v>41015</v>
      </c>
      <c r="B577" s="4" t="s">
        <v>0</v>
      </c>
      <c r="C577" s="4">
        <v>301.90389909999999</v>
      </c>
      <c r="D577" s="6">
        <f t="shared" si="48"/>
        <v>-2.9667005298223227E-2</v>
      </c>
      <c r="E577" s="4">
        <f t="shared" si="49"/>
        <v>1.3491634444495306E-2</v>
      </c>
      <c r="F577" s="6">
        <f t="shared" si="50"/>
        <v>-4.3158639742718531E-2</v>
      </c>
      <c r="G577" s="4">
        <f t="shared" si="53"/>
        <v>4.8435008379150248E-2</v>
      </c>
      <c r="H577" s="4">
        <f t="shared" si="51"/>
        <v>-0.89106291475933697</v>
      </c>
      <c r="I577" s="4">
        <f t="shared" si="52"/>
        <v>-1.3159350922343753</v>
      </c>
    </row>
    <row r="578" spans="1:9" x14ac:dyDescent="0.25">
      <c r="A578" s="3">
        <v>41016</v>
      </c>
      <c r="B578" s="4" t="s">
        <v>0</v>
      </c>
      <c r="C578" s="4">
        <v>303.64737109999999</v>
      </c>
      <c r="D578" s="6">
        <f t="shared" si="48"/>
        <v>5.7749237595056853E-3</v>
      </c>
      <c r="E578" s="4">
        <f t="shared" si="49"/>
        <v>-8.2613281420786076E-3</v>
      </c>
      <c r="F578" s="6">
        <f t="shared" si="50"/>
        <v>1.4036251901584293E-2</v>
      </c>
      <c r="G578" s="4">
        <f t="shared" si="53"/>
        <v>3.6124608603696422E-2</v>
      </c>
      <c r="H578" s="4">
        <f t="shared" si="51"/>
        <v>0.38855097519722454</v>
      </c>
      <c r="I578" s="4">
        <f t="shared" si="52"/>
        <v>-0.99442446336802981</v>
      </c>
    </row>
    <row r="579" spans="1:9" x14ac:dyDescent="0.25">
      <c r="A579" s="3">
        <v>41017</v>
      </c>
      <c r="B579" s="4" t="s">
        <v>0</v>
      </c>
      <c r="C579" s="4">
        <v>302.59133939999998</v>
      </c>
      <c r="D579" s="6">
        <f t="shared" si="48"/>
        <v>-3.4778226341114055E-3</v>
      </c>
      <c r="E579" s="4">
        <f t="shared" si="49"/>
        <v>-2.376493252491672E-2</v>
      </c>
      <c r="F579" s="6">
        <f t="shared" si="50"/>
        <v>2.0287109890805316E-2</v>
      </c>
      <c r="G579" s="4">
        <f t="shared" si="53"/>
        <v>1.9833606530259069E-2</v>
      </c>
      <c r="H579" s="4">
        <f t="shared" si="51"/>
        <v>1.0228654006952473</v>
      </c>
      <c r="I579" s="4">
        <f t="shared" si="52"/>
        <v>-1.4420653471743972</v>
      </c>
    </row>
    <row r="580" spans="1:9" x14ac:dyDescent="0.25">
      <c r="A580" s="3">
        <v>41018</v>
      </c>
      <c r="B580" s="4" t="s">
        <v>0</v>
      </c>
      <c r="C580" s="4">
        <v>298.53154849999999</v>
      </c>
      <c r="D580" s="6">
        <f t="shared" ref="D580:D643" si="54">(C580-C579)/C579</f>
        <v>-1.3416745198491283E-2</v>
      </c>
      <c r="E580" s="4">
        <f t="shared" si="49"/>
        <v>-6.8780222223052056E-3</v>
      </c>
      <c r="F580" s="6">
        <f t="shared" si="50"/>
        <v>-6.5387229761860776E-3</v>
      </c>
      <c r="G580" s="4">
        <f t="shared" si="53"/>
        <v>3.631214487513626E-2</v>
      </c>
      <c r="H580" s="4">
        <f t="shared" si="51"/>
        <v>-0.18006986364122179</v>
      </c>
      <c r="I580" s="4">
        <f t="shared" si="52"/>
        <v>-0.93515111110055682</v>
      </c>
    </row>
    <row r="581" spans="1:9" x14ac:dyDescent="0.25">
      <c r="A581" s="3">
        <v>41019</v>
      </c>
      <c r="B581" s="4" t="s">
        <v>0</v>
      </c>
      <c r="C581" s="4">
        <v>296.91759300000001</v>
      </c>
      <c r="D581" s="6">
        <f t="shared" si="54"/>
        <v>-5.406314703117465E-3</v>
      </c>
      <c r="E581" s="4">
        <f t="shared" si="49"/>
        <v>4.3881552522369153E-4</v>
      </c>
      <c r="F581" s="6">
        <f t="shared" si="50"/>
        <v>-5.8451302283411563E-3</v>
      </c>
      <c r="G581" s="4">
        <f t="shared" si="53"/>
        <v>1.5976640819283738E-2</v>
      </c>
      <c r="H581" s="4">
        <f t="shared" si="51"/>
        <v>-0.36585476849965287</v>
      </c>
      <c r="I581" s="4">
        <f t="shared" si="52"/>
        <v>-0.98586338902163995</v>
      </c>
    </row>
    <row r="582" spans="1:9" x14ac:dyDescent="0.25">
      <c r="A582" s="3">
        <v>41022</v>
      </c>
      <c r="B582" s="4" t="s">
        <v>0</v>
      </c>
      <c r="C582" s="4">
        <v>297.68471460000001</v>
      </c>
      <c r="D582" s="6">
        <f t="shared" si="54"/>
        <v>2.5836178727206504E-3</v>
      </c>
      <c r="E582" s="4">
        <f t="shared" si="49"/>
        <v>-6.1941418541822512E-3</v>
      </c>
      <c r="F582" s="6">
        <f t="shared" si="50"/>
        <v>8.777759726902902E-3</v>
      </c>
      <c r="G582" s="4">
        <f t="shared" si="53"/>
        <v>1.4837985636909277E-2</v>
      </c>
      <c r="H582" s="4">
        <f t="shared" si="51"/>
        <v>0.59157354250757266</v>
      </c>
      <c r="I582" s="4">
        <f t="shared" si="52"/>
        <v>-1.0939181613021522</v>
      </c>
    </row>
    <row r="583" spans="1:9" x14ac:dyDescent="0.25">
      <c r="A583" s="3">
        <v>41023</v>
      </c>
      <c r="B583" s="4" t="s">
        <v>0</v>
      </c>
      <c r="C583" s="4">
        <v>299.5128732</v>
      </c>
      <c r="D583" s="6">
        <f t="shared" si="54"/>
        <v>6.1412578823756463E-3</v>
      </c>
      <c r="E583" s="4">
        <f t="shared" ref="E583:E646" si="55">+$M$16*D582+$M$17*D581+$M$18*D580</f>
        <v>-6.1755779765349864E-3</v>
      </c>
      <c r="F583" s="6">
        <f t="shared" ref="F583:F646" si="56">D583-E583</f>
        <v>1.2316835858910632E-2</v>
      </c>
      <c r="G583" s="4">
        <f t="shared" si="53"/>
        <v>2.1689882715083705E-2</v>
      </c>
      <c r="H583" s="4">
        <f t="shared" ref="H583:H646" si="57">F583/G583</f>
        <v>0.56786087876561853</v>
      </c>
      <c r="I583" s="4">
        <f t="shared" ref="I583:I646" si="58">LN(_xlfn.NORM.DIST(H583,0,1,FALSE))</f>
        <v>-1.0801715220209029</v>
      </c>
    </row>
    <row r="584" spans="1:9" x14ac:dyDescent="0.25">
      <c r="A584" s="3">
        <v>41024</v>
      </c>
      <c r="B584" s="4" t="s">
        <v>0</v>
      </c>
      <c r="C584" s="4">
        <v>303.72210899999999</v>
      </c>
      <c r="D584" s="6">
        <f t="shared" si="54"/>
        <v>1.4053605626457553E-2</v>
      </c>
      <c r="E584" s="4">
        <f t="shared" si="55"/>
        <v>-6.6790959327519043E-4</v>
      </c>
      <c r="F584" s="6">
        <f t="shared" si="56"/>
        <v>1.4721515219732743E-2</v>
      </c>
      <c r="G584" s="4">
        <f t="shared" ref="G584:G647" si="59">SQRT($M$12 + $M$13 *H583^2+$M$14*G583^2)</f>
        <v>2.1781458762974999E-2</v>
      </c>
      <c r="H584" s="4">
        <f t="shared" si="57"/>
        <v>0.67587370432493565</v>
      </c>
      <c r="I584" s="4">
        <f t="shared" si="58"/>
        <v>-1.1473411653036278</v>
      </c>
    </row>
    <row r="585" spans="1:9" x14ac:dyDescent="0.25">
      <c r="A585" s="3">
        <v>41025</v>
      </c>
      <c r="B585" s="4" t="s">
        <v>0</v>
      </c>
      <c r="C585" s="4">
        <v>306.58637149999998</v>
      </c>
      <c r="D585" s="6">
        <f t="shared" si="54"/>
        <v>9.4305367147308836E-3</v>
      </c>
      <c r="E585" s="4">
        <f t="shared" si="55"/>
        <v>3.1391950188736093E-3</v>
      </c>
      <c r="F585" s="6">
        <f t="shared" si="56"/>
        <v>6.2913416958572744E-3</v>
      </c>
      <c r="G585" s="4">
        <f t="shared" si="59"/>
        <v>2.5174872722605823E-2</v>
      </c>
      <c r="H585" s="4">
        <f t="shared" si="57"/>
        <v>0.24990560092118966</v>
      </c>
      <c r="I585" s="4">
        <f t="shared" si="58"/>
        <v>-0.95016493789056311</v>
      </c>
    </row>
    <row r="586" spans="1:9" x14ac:dyDescent="0.25">
      <c r="A586" s="3">
        <v>41026</v>
      </c>
      <c r="B586" s="4" t="s">
        <v>0</v>
      </c>
      <c r="C586" s="4">
        <v>306.34229190000002</v>
      </c>
      <c r="D586" s="6">
        <f t="shared" si="54"/>
        <v>-7.9612018892354335E-4</v>
      </c>
      <c r="E586" s="4">
        <f t="shared" si="55"/>
        <v>7.2533637816900014E-3</v>
      </c>
      <c r="F586" s="6">
        <f t="shared" si="56"/>
        <v>-8.049483970613544E-3</v>
      </c>
      <c r="G586" s="4">
        <f t="shared" si="59"/>
        <v>1.3818410730440288E-2</v>
      </c>
      <c r="H586" s="4">
        <f t="shared" si="57"/>
        <v>-0.58251879522451189</v>
      </c>
      <c r="I586" s="4">
        <f t="shared" si="58"/>
        <v>-1.0886026065995811</v>
      </c>
    </row>
    <row r="587" spans="1:9" x14ac:dyDescent="0.25">
      <c r="A587" s="3">
        <v>41029</v>
      </c>
      <c r="B587" s="4" t="s">
        <v>0</v>
      </c>
      <c r="C587" s="4">
        <v>301.29620139999997</v>
      </c>
      <c r="D587" s="6">
        <f t="shared" si="54"/>
        <v>-1.6472066160709061E-2</v>
      </c>
      <c r="E587" s="4">
        <f t="shared" si="55"/>
        <v>7.9090300821195517E-3</v>
      </c>
      <c r="F587" s="6">
        <f t="shared" si="56"/>
        <v>-2.4381096242828613E-2</v>
      </c>
      <c r="G587" s="4">
        <f t="shared" si="59"/>
        <v>2.1298579968160335E-2</v>
      </c>
      <c r="H587" s="4">
        <f t="shared" si="57"/>
        <v>-1.1447287227259466</v>
      </c>
      <c r="I587" s="4">
        <f t="shared" si="58"/>
        <v>-1.5741404575215612</v>
      </c>
    </row>
    <row r="588" spans="1:9" x14ac:dyDescent="0.25">
      <c r="A588" s="3">
        <v>41030</v>
      </c>
      <c r="B588" s="4" t="s">
        <v>0</v>
      </c>
      <c r="C588" s="4">
        <v>301.08697260000002</v>
      </c>
      <c r="D588" s="6">
        <f t="shared" si="54"/>
        <v>-6.9442893414436687E-4</v>
      </c>
      <c r="E588" s="4">
        <f t="shared" si="55"/>
        <v>2.5834530841315063E-3</v>
      </c>
      <c r="F588" s="6">
        <f t="shared" si="56"/>
        <v>-3.2778820182758732E-3</v>
      </c>
      <c r="G588" s="4">
        <f t="shared" si="59"/>
        <v>4.0491054851897322E-2</v>
      </c>
      <c r="H588" s="4">
        <f t="shared" si="57"/>
        <v>-8.0953238444028311E-2</v>
      </c>
      <c r="I588" s="4">
        <f t="shared" si="58"/>
        <v>-0.92221524661196064</v>
      </c>
    </row>
    <row r="589" spans="1:9" x14ac:dyDescent="0.25">
      <c r="A589" s="3">
        <v>41031</v>
      </c>
      <c r="B589" s="4" t="s">
        <v>0</v>
      </c>
      <c r="C589" s="4">
        <v>302.49670409999999</v>
      </c>
      <c r="D589" s="6">
        <f t="shared" si="54"/>
        <v>4.6821404719918584E-3</v>
      </c>
      <c r="E589" s="4">
        <f t="shared" si="55"/>
        <v>-6.5407560154951321E-3</v>
      </c>
      <c r="F589" s="6">
        <f t="shared" si="56"/>
        <v>1.1222896487486991E-2</v>
      </c>
      <c r="G589" s="4">
        <f t="shared" si="59"/>
        <v>1.6475691285233032E-2</v>
      </c>
      <c r="H589" s="4">
        <f t="shared" si="57"/>
        <v>0.68117909550453526</v>
      </c>
      <c r="I589" s="4">
        <f t="shared" si="58"/>
        <v>-1.1509410132808611</v>
      </c>
    </row>
    <row r="590" spans="1:9" x14ac:dyDescent="0.25">
      <c r="A590" s="3">
        <v>41032</v>
      </c>
      <c r="B590" s="4" t="s">
        <v>0</v>
      </c>
      <c r="C590" s="4">
        <v>304.36966230000002</v>
      </c>
      <c r="D590" s="6">
        <f t="shared" si="54"/>
        <v>6.1916648168862734E-3</v>
      </c>
      <c r="E590" s="4">
        <f t="shared" si="55"/>
        <v>-5.3099788058389233E-3</v>
      </c>
      <c r="F590" s="6">
        <f t="shared" si="56"/>
        <v>1.1501643622725197E-2</v>
      </c>
      <c r="G590" s="4">
        <f t="shared" si="59"/>
        <v>2.4752844310529758E-2</v>
      </c>
      <c r="H590" s="4">
        <f t="shared" si="57"/>
        <v>0.46465947421777487</v>
      </c>
      <c r="I590" s="4">
        <f t="shared" si="58"/>
        <v>-1.0268927466948421</v>
      </c>
    </row>
    <row r="591" spans="1:9" x14ac:dyDescent="0.25">
      <c r="A591" s="3">
        <v>41033</v>
      </c>
      <c r="B591" s="4" t="s">
        <v>0</v>
      </c>
      <c r="C591" s="4">
        <v>297.37090189999998</v>
      </c>
      <c r="D591" s="6">
        <f t="shared" si="54"/>
        <v>-2.2994277245350931E-2</v>
      </c>
      <c r="E591" s="4">
        <f t="shared" si="55"/>
        <v>1.5773384314468071E-3</v>
      </c>
      <c r="F591" s="6">
        <f t="shared" si="56"/>
        <v>-2.4571615676797737E-2</v>
      </c>
      <c r="G591" s="4">
        <f t="shared" si="59"/>
        <v>1.9215404639607171E-2</v>
      </c>
      <c r="H591" s="4">
        <f t="shared" si="57"/>
        <v>-1.2787456802314867</v>
      </c>
      <c r="I591" s="4">
        <f t="shared" si="58"/>
        <v>-1.7365337905600164</v>
      </c>
    </row>
    <row r="592" spans="1:9" x14ac:dyDescent="0.25">
      <c r="A592" s="3">
        <v>41036</v>
      </c>
      <c r="B592" s="4" t="s">
        <v>0</v>
      </c>
      <c r="C592" s="4">
        <v>302.64114369999999</v>
      </c>
      <c r="D592" s="6">
        <f t="shared" si="54"/>
        <v>1.7722789171121682E-2</v>
      </c>
      <c r="E592" s="4">
        <f t="shared" si="55"/>
        <v>3.8004007677194269E-3</v>
      </c>
      <c r="F592" s="6">
        <f t="shared" si="56"/>
        <v>1.3922388403402255E-2</v>
      </c>
      <c r="G592" s="4">
        <f t="shared" si="59"/>
        <v>4.4844839379782037E-2</v>
      </c>
      <c r="H592" s="4">
        <f t="shared" si="57"/>
        <v>0.31045686852608195</v>
      </c>
      <c r="I592" s="4">
        <f t="shared" si="58"/>
        <v>-0.96713026681218317</v>
      </c>
    </row>
    <row r="593" spans="1:9" x14ac:dyDescent="0.25">
      <c r="A593" s="3">
        <v>41037</v>
      </c>
      <c r="B593" s="4" t="s">
        <v>0</v>
      </c>
      <c r="C593" s="4">
        <v>305.25137790000002</v>
      </c>
      <c r="D593" s="6">
        <f t="shared" si="54"/>
        <v>8.62484911366675E-3</v>
      </c>
      <c r="E593" s="4">
        <f t="shared" si="55"/>
        <v>-6.8936688006465139E-3</v>
      </c>
      <c r="F593" s="6">
        <f t="shared" si="56"/>
        <v>1.5518517914313263E-2</v>
      </c>
      <c r="G593" s="4">
        <f t="shared" si="59"/>
        <v>2.0778615509567791E-2</v>
      </c>
      <c r="H593" s="4">
        <f t="shared" si="57"/>
        <v>0.74685042933527279</v>
      </c>
      <c r="I593" s="4">
        <f t="shared" si="58"/>
        <v>-1.1978313151038134</v>
      </c>
    </row>
    <row r="594" spans="1:9" x14ac:dyDescent="0.25">
      <c r="A594" s="3">
        <v>41038</v>
      </c>
      <c r="B594" s="4" t="s">
        <v>0</v>
      </c>
      <c r="C594" s="4">
        <v>303.4381727</v>
      </c>
      <c r="D594" s="6">
        <f t="shared" si="54"/>
        <v>-5.9400393618993944E-3</v>
      </c>
      <c r="E594" s="4">
        <f t="shared" si="55"/>
        <v>-2.6682180313909558E-4</v>
      </c>
      <c r="F594" s="6">
        <f t="shared" si="56"/>
        <v>-5.6732175587602988E-3</v>
      </c>
      <c r="G594" s="4">
        <f t="shared" si="59"/>
        <v>2.7329344629904925E-2</v>
      </c>
      <c r="H594" s="4">
        <f t="shared" si="57"/>
        <v>-0.20758703275132417</v>
      </c>
      <c r="I594" s="4">
        <f t="shared" si="58"/>
        <v>-0.94048472128792227</v>
      </c>
    </row>
    <row r="595" spans="1:9" x14ac:dyDescent="0.25">
      <c r="A595" s="3">
        <v>41039</v>
      </c>
      <c r="B595" s="4" t="s">
        <v>0</v>
      </c>
      <c r="C595" s="4">
        <v>305.68475899999999</v>
      </c>
      <c r="D595" s="6">
        <f t="shared" si="54"/>
        <v>7.4037695389799251E-3</v>
      </c>
      <c r="E595" s="4">
        <f t="shared" si="55"/>
        <v>8.724625154798521E-3</v>
      </c>
      <c r="F595" s="6">
        <f t="shared" si="56"/>
        <v>-1.3208556158185959E-3</v>
      </c>
      <c r="G595" s="4">
        <f t="shared" si="59"/>
        <v>1.3585007084011974E-2</v>
      </c>
      <c r="H595" s="4">
        <f t="shared" si="57"/>
        <v>-9.7228923595711225E-2</v>
      </c>
      <c r="I595" s="4">
        <f t="shared" si="58"/>
        <v>-0.92366526499646295</v>
      </c>
    </row>
    <row r="596" spans="1:9" x14ac:dyDescent="0.25">
      <c r="A596" s="3">
        <v>41040</v>
      </c>
      <c r="B596" s="4" t="s">
        <v>0</v>
      </c>
      <c r="C596" s="4">
        <v>301.48547189999999</v>
      </c>
      <c r="D596" s="6">
        <f t="shared" si="54"/>
        <v>-1.3737312628007052E-2</v>
      </c>
      <c r="E596" s="4">
        <f t="shared" si="55"/>
        <v>3.7077359921039226E-4</v>
      </c>
      <c r="F596" s="6">
        <f t="shared" si="56"/>
        <v>-1.4108086227217445E-2</v>
      </c>
      <c r="G596" s="4">
        <f t="shared" si="59"/>
        <v>7.9278992471604488E-3</v>
      </c>
      <c r="H596" s="4">
        <f t="shared" si="57"/>
        <v>-1.7795491324225099</v>
      </c>
      <c r="I596" s="4">
        <f t="shared" si="58"/>
        <v>-2.5023360905575265</v>
      </c>
    </row>
    <row r="597" spans="1:9" x14ac:dyDescent="0.25">
      <c r="A597" s="3">
        <v>41043</v>
      </c>
      <c r="B597" s="4" t="s">
        <v>0</v>
      </c>
      <c r="C597" s="4">
        <v>300.8727695</v>
      </c>
      <c r="D597" s="6">
        <f t="shared" si="54"/>
        <v>-2.0322783586839538E-3</v>
      </c>
      <c r="E597" s="4">
        <f t="shared" si="55"/>
        <v>1.0108822809590621E-3</v>
      </c>
      <c r="F597" s="6">
        <f t="shared" si="56"/>
        <v>-3.0431606396430161E-3</v>
      </c>
      <c r="G597" s="4">
        <f t="shared" si="59"/>
        <v>6.1452932489574466E-2</v>
      </c>
      <c r="H597" s="4">
        <f t="shared" si="57"/>
        <v>-4.9520185878180682E-2</v>
      </c>
      <c r="I597" s="4">
        <f t="shared" si="58"/>
        <v>-0.92016465760937749</v>
      </c>
    </row>
    <row r="598" spans="1:9" x14ac:dyDescent="0.25">
      <c r="A598" s="3">
        <v>41044</v>
      </c>
      <c r="B598" s="4" t="s">
        <v>0</v>
      </c>
      <c r="C598" s="4">
        <v>304.41449269999998</v>
      </c>
      <c r="D598" s="6">
        <f t="shared" si="54"/>
        <v>1.1771497985296999E-2</v>
      </c>
      <c r="E598" s="4">
        <f t="shared" si="55"/>
        <v>-2.9841089645792408E-3</v>
      </c>
      <c r="F598" s="6">
        <f t="shared" si="56"/>
        <v>1.4755606949876239E-2</v>
      </c>
      <c r="G598" s="4">
        <f t="shared" si="59"/>
        <v>2.4041715361427077E-2</v>
      </c>
      <c r="H598" s="4">
        <f t="shared" si="57"/>
        <v>0.61375017248354824</v>
      </c>
      <c r="I598" s="4">
        <f t="shared" si="58"/>
        <v>-1.1072831703164652</v>
      </c>
    </row>
    <row r="599" spans="1:9" x14ac:dyDescent="0.25">
      <c r="A599" s="3">
        <v>41045</v>
      </c>
      <c r="B599" s="4" t="s">
        <v>0</v>
      </c>
      <c r="C599" s="4">
        <v>313.2912475</v>
      </c>
      <c r="D599" s="6">
        <f t="shared" si="54"/>
        <v>2.9160092613422461E-2</v>
      </c>
      <c r="E599" s="4">
        <f t="shared" si="55"/>
        <v>-4.9837447294634194E-3</v>
      </c>
      <c r="F599" s="6">
        <f t="shared" si="56"/>
        <v>3.4143837342885883E-2</v>
      </c>
      <c r="G599" s="4">
        <f t="shared" si="59"/>
        <v>2.3541156804038031E-2</v>
      </c>
      <c r="H599" s="4">
        <f t="shared" si="57"/>
        <v>1.4503891047966329</v>
      </c>
      <c r="I599" s="4">
        <f t="shared" si="58"/>
        <v>-1.9707528108610619</v>
      </c>
    </row>
    <row r="600" spans="1:9" x14ac:dyDescent="0.25">
      <c r="A600" s="3">
        <v>41046</v>
      </c>
      <c r="B600" s="4" t="s">
        <v>0</v>
      </c>
      <c r="C600" s="4">
        <v>310.36222670000001</v>
      </c>
      <c r="D600" s="6">
        <f t="shared" si="54"/>
        <v>-9.3491944743843806E-3</v>
      </c>
      <c r="E600" s="4">
        <f t="shared" si="55"/>
        <v>3.8781924982125384E-3</v>
      </c>
      <c r="F600" s="6">
        <f t="shared" si="56"/>
        <v>-1.3227386972596919E-2</v>
      </c>
      <c r="G600" s="4">
        <f t="shared" si="59"/>
        <v>5.0907876305272763E-2</v>
      </c>
      <c r="H600" s="4">
        <f t="shared" si="57"/>
        <v>-0.25982987177225653</v>
      </c>
      <c r="I600" s="4">
        <f t="shared" si="58"/>
        <v>-0.95269431433726637</v>
      </c>
    </row>
    <row r="601" spans="1:9" x14ac:dyDescent="0.25">
      <c r="A601" s="3">
        <v>41047</v>
      </c>
      <c r="B601" s="4" t="s">
        <v>0</v>
      </c>
      <c r="C601" s="4">
        <v>299.07949209999998</v>
      </c>
      <c r="D601" s="6">
        <f t="shared" si="54"/>
        <v>-3.6353440043159817E-2</v>
      </c>
      <c r="E601" s="4">
        <f t="shared" si="55"/>
        <v>1.4752157691002068E-2</v>
      </c>
      <c r="F601" s="6">
        <f t="shared" si="56"/>
        <v>-5.1105597734161887E-2</v>
      </c>
      <c r="G601" s="4">
        <f t="shared" si="59"/>
        <v>2.1959742180628256E-2</v>
      </c>
      <c r="H601" s="4">
        <f t="shared" si="57"/>
        <v>-2.3272403343261741</v>
      </c>
      <c r="I601" s="4">
        <f t="shared" si="58"/>
        <v>-3.6269623200619741</v>
      </c>
    </row>
    <row r="602" spans="1:9" x14ac:dyDescent="0.25">
      <c r="A602" s="3">
        <v>41050</v>
      </c>
      <c r="B602" s="4" t="s">
        <v>0</v>
      </c>
      <c r="C602" s="4">
        <v>305.9089108</v>
      </c>
      <c r="D602" s="6">
        <f t="shared" si="54"/>
        <v>2.2834794362017106E-2</v>
      </c>
      <c r="E602" s="4">
        <f t="shared" si="55"/>
        <v>5.3556130494076867E-3</v>
      </c>
      <c r="F602" s="6">
        <f t="shared" si="56"/>
        <v>1.7479181312609421E-2</v>
      </c>
      <c r="G602" s="4">
        <f t="shared" si="59"/>
        <v>8.0596170152708257E-2</v>
      </c>
      <c r="H602" s="4">
        <f t="shared" si="57"/>
        <v>0.21687359684078081</v>
      </c>
      <c r="I602" s="4">
        <f t="shared" si="58"/>
        <v>-0.9424556117080013</v>
      </c>
    </row>
    <row r="603" spans="1:9" x14ac:dyDescent="0.25">
      <c r="A603" s="3">
        <v>41051</v>
      </c>
      <c r="B603" s="4" t="s">
        <v>0</v>
      </c>
      <c r="C603" s="4">
        <v>299.27874179999998</v>
      </c>
      <c r="D603" s="6">
        <f t="shared" si="54"/>
        <v>-2.1673670710215951E-2</v>
      </c>
      <c r="E603" s="4">
        <f t="shared" si="55"/>
        <v>-1.6759919393072434E-2</v>
      </c>
      <c r="F603" s="6">
        <f t="shared" si="56"/>
        <v>-4.9137513171435172E-3</v>
      </c>
      <c r="G603" s="4">
        <f t="shared" si="59"/>
        <v>3.2046130888135842E-2</v>
      </c>
      <c r="H603" s="4">
        <f t="shared" si="57"/>
        <v>-0.15333368431577779</v>
      </c>
      <c r="I603" s="4">
        <f t="shared" si="58"/>
        <v>-0.93069414257759797</v>
      </c>
    </row>
    <row r="604" spans="1:9" x14ac:dyDescent="0.25">
      <c r="A604" s="3">
        <v>41052</v>
      </c>
      <c r="B604" s="4" t="s">
        <v>0</v>
      </c>
      <c r="C604" s="4">
        <v>303.5925919</v>
      </c>
      <c r="D604" s="6">
        <f t="shared" si="54"/>
        <v>1.4414154757716992E-2</v>
      </c>
      <c r="E604" s="4">
        <f t="shared" si="55"/>
        <v>-2.4044875939262019E-3</v>
      </c>
      <c r="F604" s="6">
        <f t="shared" si="56"/>
        <v>1.6818642351643195E-2</v>
      </c>
      <c r="G604" s="4">
        <f t="shared" si="59"/>
        <v>1.4220513286564802E-2</v>
      </c>
      <c r="H604" s="4">
        <f t="shared" si="57"/>
        <v>1.1827029033848619</v>
      </c>
      <c r="I604" s="4">
        <f t="shared" si="58"/>
        <v>-1.6183316120421638</v>
      </c>
    </row>
    <row r="605" spans="1:9" x14ac:dyDescent="0.25">
      <c r="A605" s="3">
        <v>41053</v>
      </c>
      <c r="B605" s="4" t="s">
        <v>0</v>
      </c>
      <c r="C605" s="4">
        <v>300.70339630000001</v>
      </c>
      <c r="D605" s="6">
        <f t="shared" si="54"/>
        <v>-9.5166867607614815E-3</v>
      </c>
      <c r="E605" s="4">
        <f t="shared" si="55"/>
        <v>-1.2918993014571622E-3</v>
      </c>
      <c r="F605" s="6">
        <f t="shared" si="56"/>
        <v>-8.2247874593043193E-3</v>
      </c>
      <c r="G605" s="4">
        <f t="shared" si="59"/>
        <v>4.1319968981861285E-2</v>
      </c>
      <c r="H605" s="4">
        <f t="shared" si="57"/>
        <v>-0.19905115279527077</v>
      </c>
      <c r="I605" s="4">
        <f t="shared" si="58"/>
        <v>-0.93874921391923583</v>
      </c>
    </row>
    <row r="606" spans="1:9" x14ac:dyDescent="0.25">
      <c r="A606" s="3">
        <v>41054</v>
      </c>
      <c r="B606" s="4" t="s">
        <v>0</v>
      </c>
      <c r="C606" s="4">
        <v>294.66105800000003</v>
      </c>
      <c r="D606" s="6">
        <f t="shared" si="54"/>
        <v>-2.009401414931735E-2</v>
      </c>
      <c r="E606" s="4">
        <f t="shared" si="55"/>
        <v>-1.1275681372746663E-3</v>
      </c>
      <c r="F606" s="6">
        <f t="shared" si="56"/>
        <v>-1.8966446012042684E-2</v>
      </c>
      <c r="G606" s="4">
        <f t="shared" si="59"/>
        <v>1.7900006656523124E-2</v>
      </c>
      <c r="H606" s="4">
        <f t="shared" si="57"/>
        <v>-1.0595775954715039</v>
      </c>
      <c r="I606" s="4">
        <f t="shared" si="58"/>
        <v>-1.4802908736172598</v>
      </c>
    </row>
    <row r="607" spans="1:9" x14ac:dyDescent="0.25">
      <c r="A607" s="3">
        <v>41058</v>
      </c>
      <c r="B607" s="4" t="s">
        <v>0</v>
      </c>
      <c r="C607" s="4">
        <v>296.06081039999998</v>
      </c>
      <c r="D607" s="6">
        <f t="shared" si="54"/>
        <v>4.7503813686841315E-3</v>
      </c>
      <c r="E607" s="4">
        <f t="shared" si="55"/>
        <v>7.7593333194142088E-4</v>
      </c>
      <c r="F607" s="6">
        <f t="shared" si="56"/>
        <v>3.9744480367427107E-3</v>
      </c>
      <c r="G607" s="4">
        <f t="shared" si="59"/>
        <v>3.739370883429894E-2</v>
      </c>
      <c r="H607" s="4">
        <f t="shared" si="57"/>
        <v>0.10628654286084602</v>
      </c>
      <c r="I607" s="4">
        <f t="shared" si="58"/>
        <v>-0.92458694780132789</v>
      </c>
    </row>
    <row r="608" spans="1:9" x14ac:dyDescent="0.25">
      <c r="A608" s="3">
        <v>41059</v>
      </c>
      <c r="B608" s="4" t="s">
        <v>0</v>
      </c>
      <c r="C608" s="4">
        <v>293.01719559999998</v>
      </c>
      <c r="D608" s="6">
        <f t="shared" si="54"/>
        <v>-1.0280370427574835E-2</v>
      </c>
      <c r="E608" s="4">
        <f t="shared" si="55"/>
        <v>-1.0595935363997409E-2</v>
      </c>
      <c r="F608" s="6">
        <f t="shared" si="56"/>
        <v>3.1556493642257398E-4</v>
      </c>
      <c r="G608" s="4">
        <f t="shared" si="59"/>
        <v>1.5553145711676769E-2</v>
      </c>
      <c r="H608" s="4">
        <f t="shared" si="57"/>
        <v>2.0289460554957613E-2</v>
      </c>
      <c r="I608" s="4">
        <f t="shared" si="58"/>
        <v>-0.91914436430947821</v>
      </c>
    </row>
    <row r="609" spans="1:9" x14ac:dyDescent="0.25">
      <c r="A609" s="3">
        <v>41060</v>
      </c>
      <c r="B609" s="4" t="s">
        <v>0</v>
      </c>
      <c r="C609" s="4">
        <v>289.34595530000001</v>
      </c>
      <c r="D609" s="6">
        <f t="shared" si="54"/>
        <v>-1.2529095067211017E-2</v>
      </c>
      <c r="E609" s="4">
        <f t="shared" si="55"/>
        <v>-4.3380698213980216E-3</v>
      </c>
      <c r="F609" s="6">
        <f t="shared" si="56"/>
        <v>-8.191025245812996E-3</v>
      </c>
      <c r="G609" s="4">
        <f t="shared" si="59"/>
        <v>7.7796490206853393E-3</v>
      </c>
      <c r="H609" s="4">
        <f t="shared" si="57"/>
        <v>-1.052878506990977</v>
      </c>
      <c r="I609" s="4">
        <f t="shared" si="58"/>
        <v>-1.4732151084464469</v>
      </c>
    </row>
    <row r="610" spans="1:9" x14ac:dyDescent="0.25">
      <c r="A610" s="3">
        <v>41061</v>
      </c>
      <c r="B610" s="4" t="s">
        <v>0</v>
      </c>
      <c r="C610" s="4">
        <v>284.42440749999997</v>
      </c>
      <c r="D610" s="6">
        <f t="shared" si="54"/>
        <v>-1.7009215818818951E-2</v>
      </c>
      <c r="E610" s="4">
        <f t="shared" si="55"/>
        <v>-2.4754077408116661E-3</v>
      </c>
      <c r="F610" s="6">
        <f t="shared" si="56"/>
        <v>-1.4533808078007285E-2</v>
      </c>
      <c r="G610" s="4">
        <f t="shared" si="59"/>
        <v>3.6656424289708861E-2</v>
      </c>
      <c r="H610" s="4">
        <f t="shared" si="57"/>
        <v>-0.3964873377485319</v>
      </c>
      <c r="I610" s="4">
        <f t="shared" si="58"/>
        <v>-0.99753963770213194</v>
      </c>
    </row>
    <row r="611" spans="1:9" x14ac:dyDescent="0.25">
      <c r="A611" s="3">
        <v>41064</v>
      </c>
      <c r="B611" s="4" t="s">
        <v>0</v>
      </c>
      <c r="C611" s="4">
        <v>288.21518520000001</v>
      </c>
      <c r="D611" s="6">
        <f t="shared" si="54"/>
        <v>1.332789170001184E-2</v>
      </c>
      <c r="E611" s="4">
        <f t="shared" si="55"/>
        <v>-7.9383390262968076E-3</v>
      </c>
      <c r="F611" s="6">
        <f t="shared" si="56"/>
        <v>2.1266230726308649E-2</v>
      </c>
      <c r="G611" s="4">
        <f t="shared" si="59"/>
        <v>2.0158754157002853E-2</v>
      </c>
      <c r="H611" s="4">
        <f t="shared" si="57"/>
        <v>1.0549377486664311</v>
      </c>
      <c r="I611" s="4">
        <f t="shared" si="58"/>
        <v>-1.4753853599853717</v>
      </c>
    </row>
    <row r="612" spans="1:9" x14ac:dyDescent="0.25">
      <c r="A612" s="3">
        <v>41065</v>
      </c>
      <c r="B612" s="4" t="s">
        <v>0</v>
      </c>
      <c r="C612" s="4">
        <v>284.1404713</v>
      </c>
      <c r="D612" s="6">
        <f t="shared" si="54"/>
        <v>-1.4137748839196159E-2</v>
      </c>
      <c r="E612" s="4">
        <f t="shared" si="55"/>
        <v>-1.0339066229205898E-2</v>
      </c>
      <c r="F612" s="6">
        <f t="shared" si="56"/>
        <v>-3.7986826099902608E-3</v>
      </c>
      <c r="G612" s="4">
        <f t="shared" si="59"/>
        <v>3.7406175256095388E-2</v>
      </c>
      <c r="H612" s="4">
        <f t="shared" si="57"/>
        <v>-0.101552286059272</v>
      </c>
      <c r="I612" s="4">
        <f t="shared" si="58"/>
        <v>-0.92409496660660473</v>
      </c>
    </row>
    <row r="613" spans="1:9" x14ac:dyDescent="0.25">
      <c r="A613" s="3">
        <v>41066</v>
      </c>
      <c r="B613" s="4" t="s">
        <v>0</v>
      </c>
      <c r="C613" s="4">
        <v>289.2014848</v>
      </c>
      <c r="D613" s="6">
        <f t="shared" si="54"/>
        <v>1.7811660116015305E-2</v>
      </c>
      <c r="E613" s="4">
        <f t="shared" si="55"/>
        <v>-1.1441672171632646E-4</v>
      </c>
      <c r="F613" s="6">
        <f t="shared" si="56"/>
        <v>1.7926076837731633E-2</v>
      </c>
      <c r="G613" s="4">
        <f t="shared" si="59"/>
        <v>1.5520096015660373E-2</v>
      </c>
      <c r="H613" s="4">
        <f t="shared" si="57"/>
        <v>1.1550235784394332</v>
      </c>
      <c r="I613" s="4">
        <f t="shared" si="58"/>
        <v>-1.5859782665801894</v>
      </c>
    </row>
    <row r="614" spans="1:9" x14ac:dyDescent="0.25">
      <c r="A614" s="3">
        <v>41067</v>
      </c>
      <c r="B614" s="4" t="s">
        <v>0</v>
      </c>
      <c r="C614" s="4">
        <v>288.03586389999998</v>
      </c>
      <c r="D614" s="6">
        <f t="shared" si="54"/>
        <v>-4.0304803442005764E-3</v>
      </c>
      <c r="E614" s="4">
        <f t="shared" si="55"/>
        <v>-1.3225150076934282E-3</v>
      </c>
      <c r="F614" s="6">
        <f t="shared" si="56"/>
        <v>-2.7079653365071482E-3</v>
      </c>
      <c r="G614" s="4">
        <f t="shared" si="59"/>
        <v>4.0453698884571246E-2</v>
      </c>
      <c r="H614" s="4">
        <f t="shared" si="57"/>
        <v>-6.6939869806069752E-2</v>
      </c>
      <c r="I614" s="4">
        <f t="shared" si="58"/>
        <v>-0.92117900628949956</v>
      </c>
    </row>
    <row r="615" spans="1:9" x14ac:dyDescent="0.25">
      <c r="A615" s="3">
        <v>41068</v>
      </c>
      <c r="B615" s="4" t="s">
        <v>0</v>
      </c>
      <c r="C615" s="4">
        <v>289.1417313</v>
      </c>
      <c r="D615" s="6">
        <f t="shared" si="54"/>
        <v>3.8393392580583518E-3</v>
      </c>
      <c r="E615" s="4">
        <f t="shared" si="55"/>
        <v>2.4792300198606633E-3</v>
      </c>
      <c r="F615" s="6">
        <f t="shared" si="56"/>
        <v>1.3601092381976885E-3</v>
      </c>
      <c r="G615" s="4">
        <f t="shared" si="59"/>
        <v>1.6387754910335867E-2</v>
      </c>
      <c r="H615" s="4">
        <f t="shared" si="57"/>
        <v>8.299545884347212E-2</v>
      </c>
      <c r="I615" s="4">
        <f t="shared" si="58"/>
        <v>-0.92238265629899185</v>
      </c>
    </row>
    <row r="616" spans="1:9" x14ac:dyDescent="0.25">
      <c r="A616" s="3">
        <v>41071</v>
      </c>
      <c r="B616" s="4" t="s">
        <v>0</v>
      </c>
      <c r="C616" s="4">
        <v>283.18902300000002</v>
      </c>
      <c r="D616" s="6">
        <f t="shared" si="54"/>
        <v>-2.0587510053412975E-2</v>
      </c>
      <c r="E616" s="4">
        <f t="shared" si="55"/>
        <v>3.9141682284411072E-3</v>
      </c>
      <c r="F616" s="6">
        <f t="shared" si="56"/>
        <v>-2.4501678281854081E-2</v>
      </c>
      <c r="G616" s="4">
        <f t="shared" si="59"/>
        <v>8.4889158617869991E-3</v>
      </c>
      <c r="H616" s="4">
        <f t="shared" si="57"/>
        <v>-2.8863141867324669</v>
      </c>
      <c r="I616" s="4">
        <f t="shared" si="58"/>
        <v>-5.0843433254712229</v>
      </c>
    </row>
    <row r="617" spans="1:9" x14ac:dyDescent="0.25">
      <c r="A617" s="3">
        <v>41072</v>
      </c>
      <c r="B617" s="4" t="s">
        <v>0</v>
      </c>
      <c r="C617" s="4">
        <v>281.49535580000003</v>
      </c>
      <c r="D617" s="6">
        <f t="shared" si="54"/>
        <v>-5.9806950921257743E-3</v>
      </c>
      <c r="E617" s="4">
        <f t="shared" si="55"/>
        <v>2.3294433178992183E-4</v>
      </c>
      <c r="F617" s="6">
        <f t="shared" si="56"/>
        <v>-6.2136394239156959E-3</v>
      </c>
      <c r="G617" s="4">
        <f t="shared" si="59"/>
        <v>9.940139226533104E-2</v>
      </c>
      <c r="H617" s="4">
        <f t="shared" si="57"/>
        <v>-6.2510587450623392E-2</v>
      </c>
      <c r="I617" s="4">
        <f t="shared" si="58"/>
        <v>-0.92089231997638366</v>
      </c>
    </row>
    <row r="618" spans="1:9" x14ac:dyDescent="0.25">
      <c r="A618" s="3">
        <v>41073</v>
      </c>
      <c r="B618" s="4" t="s">
        <v>0</v>
      </c>
      <c r="C618" s="4">
        <v>279.49785489999999</v>
      </c>
      <c r="D618" s="6">
        <f t="shared" si="54"/>
        <v>-7.0960350103226599E-3</v>
      </c>
      <c r="E618" s="4">
        <f t="shared" si="55"/>
        <v>-6.6944907015140387E-3</v>
      </c>
      <c r="F618" s="6">
        <f t="shared" si="56"/>
        <v>-4.0154430880862124E-4</v>
      </c>
      <c r="G618" s="4">
        <f t="shared" si="59"/>
        <v>3.8330755901450686E-2</v>
      </c>
      <c r="H618" s="4">
        <f t="shared" si="57"/>
        <v>-1.0475773288713677E-2</v>
      </c>
      <c r="I618" s="4">
        <f t="shared" si="58"/>
        <v>-0.91899340411767094</v>
      </c>
    </row>
    <row r="619" spans="1:9" x14ac:dyDescent="0.25">
      <c r="A619" s="3">
        <v>41074</v>
      </c>
      <c r="B619" s="4" t="s">
        <v>0</v>
      </c>
      <c r="C619" s="4">
        <v>278.48164789999998</v>
      </c>
      <c r="D619" s="6">
        <f t="shared" si="54"/>
        <v>-3.6358311242266658E-3</v>
      </c>
      <c r="E619" s="4">
        <f t="shared" si="55"/>
        <v>-8.5914078558706822E-3</v>
      </c>
      <c r="F619" s="6">
        <f t="shared" si="56"/>
        <v>4.9555767316440159E-3</v>
      </c>
      <c r="G619" s="4">
        <f t="shared" si="59"/>
        <v>1.5460259270581681E-2</v>
      </c>
      <c r="H619" s="4">
        <f t="shared" si="57"/>
        <v>0.32053645704853473</v>
      </c>
      <c r="I619" s="4">
        <f t="shared" si="58"/>
        <v>-0.97031034335328625</v>
      </c>
    </row>
    <row r="620" spans="1:9" x14ac:dyDescent="0.25">
      <c r="A620" s="3">
        <v>41075</v>
      </c>
      <c r="B620" s="4" t="s">
        <v>0</v>
      </c>
      <c r="C620" s="4">
        <v>281.2014709</v>
      </c>
      <c r="D620" s="6">
        <f t="shared" si="54"/>
        <v>9.7666148577829487E-3</v>
      </c>
      <c r="E620" s="4">
        <f t="shared" si="55"/>
        <v>-4.5443405282083113E-3</v>
      </c>
      <c r="F620" s="6">
        <f t="shared" si="56"/>
        <v>1.431095538599126E-2</v>
      </c>
      <c r="G620" s="4">
        <f t="shared" si="59"/>
        <v>1.34550751010468E-2</v>
      </c>
      <c r="H620" s="4">
        <f t="shared" si="57"/>
        <v>1.0636102198253707</v>
      </c>
      <c r="I620" s="4">
        <f t="shared" si="58"/>
        <v>-1.4845718830631596</v>
      </c>
    </row>
    <row r="621" spans="1:9" x14ac:dyDescent="0.25">
      <c r="A621" s="3">
        <v>41078</v>
      </c>
      <c r="B621" s="4" t="s">
        <v>0</v>
      </c>
      <c r="C621" s="4">
        <v>284.35964869999998</v>
      </c>
      <c r="D621" s="6">
        <f t="shared" si="54"/>
        <v>1.1231014510315549E-2</v>
      </c>
      <c r="E621" s="4">
        <f t="shared" si="55"/>
        <v>-3.5628837616466882E-3</v>
      </c>
      <c r="F621" s="6">
        <f t="shared" si="56"/>
        <v>1.4793898271962237E-2</v>
      </c>
      <c r="G621" s="4">
        <f t="shared" si="59"/>
        <v>3.7257192138776062E-2</v>
      </c>
      <c r="H621" s="4">
        <f t="shared" si="57"/>
        <v>0.39707496520021524</v>
      </c>
      <c r="I621" s="4">
        <f t="shared" si="58"/>
        <v>-0.99777279719904877</v>
      </c>
    </row>
    <row r="622" spans="1:9" x14ac:dyDescent="0.25">
      <c r="A622" s="3">
        <v>41079</v>
      </c>
      <c r="B622" s="4" t="s">
        <v>0</v>
      </c>
      <c r="C622" s="4">
        <v>289.67969590000001</v>
      </c>
      <c r="D622" s="6">
        <f t="shared" si="54"/>
        <v>1.8708868238941644E-2</v>
      </c>
      <c r="E622" s="4">
        <f t="shared" si="55"/>
        <v>2.6203171798454641E-3</v>
      </c>
      <c r="F622" s="6">
        <f t="shared" si="56"/>
        <v>1.6088551059096179E-2</v>
      </c>
      <c r="G622" s="4">
        <f t="shared" si="59"/>
        <v>2.0332174385746315E-2</v>
      </c>
      <c r="H622" s="4">
        <f t="shared" si="57"/>
        <v>0.79128531724452011</v>
      </c>
      <c r="I622" s="4">
        <f t="shared" si="58"/>
        <v>-1.2320047598480532</v>
      </c>
    </row>
    <row r="623" spans="1:9" x14ac:dyDescent="0.25">
      <c r="A623" s="3">
        <v>41080</v>
      </c>
      <c r="B623" s="4" t="s">
        <v>0</v>
      </c>
      <c r="C623" s="4">
        <v>287.67722070000002</v>
      </c>
      <c r="D623" s="6">
        <f t="shared" si="54"/>
        <v>-6.9127219765214897E-3</v>
      </c>
      <c r="E623" s="4">
        <f t="shared" si="55"/>
        <v>7.2848050206704793E-3</v>
      </c>
      <c r="F623" s="6">
        <f t="shared" si="56"/>
        <v>-1.419752699719197E-2</v>
      </c>
      <c r="G623" s="4">
        <f t="shared" si="59"/>
        <v>2.8722654429828676E-2</v>
      </c>
      <c r="H623" s="4">
        <f t="shared" si="57"/>
        <v>-0.49429717688096891</v>
      </c>
      <c r="I623" s="4">
        <f t="shared" si="58"/>
        <v>-1.0411033827409206</v>
      </c>
    </row>
    <row r="624" spans="1:9" x14ac:dyDescent="0.25">
      <c r="A624" s="3">
        <v>41081</v>
      </c>
      <c r="B624" s="4" t="s">
        <v>0</v>
      </c>
      <c r="C624" s="4">
        <v>281.55016540000003</v>
      </c>
      <c r="D624" s="6">
        <f t="shared" si="54"/>
        <v>-2.12983679593787E-2</v>
      </c>
      <c r="E624" s="4">
        <f t="shared" si="55"/>
        <v>1.0591396288138561E-2</v>
      </c>
      <c r="F624" s="6">
        <f t="shared" si="56"/>
        <v>-3.1889764247517258E-2</v>
      </c>
      <c r="G624" s="4">
        <f t="shared" si="59"/>
        <v>2.0826794402300626E-2</v>
      </c>
      <c r="H624" s="4">
        <f t="shared" si="57"/>
        <v>-1.5311892762524493</v>
      </c>
      <c r="I624" s="4">
        <f t="shared" si="58"/>
        <v>-2.0912088330599223</v>
      </c>
    </row>
    <row r="625" spans="1:9" x14ac:dyDescent="0.25">
      <c r="A625" s="3">
        <v>41082</v>
      </c>
      <c r="B625" s="4" t="s">
        <v>0</v>
      </c>
      <c r="C625" s="4">
        <v>284.67346199999997</v>
      </c>
      <c r="D625" s="6">
        <f t="shared" si="54"/>
        <v>1.1093215291003862E-2</v>
      </c>
      <c r="E625" s="4">
        <f t="shared" si="55"/>
        <v>3.086616368131726E-3</v>
      </c>
      <c r="F625" s="6">
        <f t="shared" si="56"/>
        <v>8.0065989228721365E-3</v>
      </c>
      <c r="G625" s="4">
        <f t="shared" si="59"/>
        <v>5.3467486284992961E-2</v>
      </c>
      <c r="H625" s="4">
        <f t="shared" si="57"/>
        <v>0.14974706086228326</v>
      </c>
      <c r="I625" s="4">
        <f t="shared" si="58"/>
        <v>-0.93015062432311879</v>
      </c>
    </row>
    <row r="626" spans="1:9" x14ac:dyDescent="0.25">
      <c r="A626" s="3">
        <v>41085</v>
      </c>
      <c r="B626" s="4" t="s">
        <v>0</v>
      </c>
      <c r="C626" s="4">
        <v>279.30357959999998</v>
      </c>
      <c r="D626" s="6">
        <f t="shared" si="54"/>
        <v>-1.8863305213887464E-2</v>
      </c>
      <c r="E626" s="4">
        <f t="shared" si="55"/>
        <v>-1.0258737962730819E-2</v>
      </c>
      <c r="F626" s="6">
        <f t="shared" si="56"/>
        <v>-8.6045672511566446E-3</v>
      </c>
      <c r="G626" s="4">
        <f t="shared" si="59"/>
        <v>2.1630478366968429E-2</v>
      </c>
      <c r="H626" s="4">
        <f t="shared" si="57"/>
        <v>-0.3977982874524193</v>
      </c>
      <c r="I626" s="4">
        <f t="shared" si="58"/>
        <v>-0.99806027195471159</v>
      </c>
    </row>
    <row r="627" spans="1:9" x14ac:dyDescent="0.25">
      <c r="A627" s="3">
        <v>41086</v>
      </c>
      <c r="B627" s="4" t="s">
        <v>0</v>
      </c>
      <c r="C627" s="4">
        <v>281.28615739999998</v>
      </c>
      <c r="D627" s="6">
        <f t="shared" si="54"/>
        <v>7.0982899783787858E-3</v>
      </c>
      <c r="E627" s="4">
        <f t="shared" si="55"/>
        <v>-2.2823439130477347E-3</v>
      </c>
      <c r="F627" s="6">
        <f t="shared" si="56"/>
        <v>9.3806338914265205E-3</v>
      </c>
      <c r="G627" s="4">
        <f t="shared" si="59"/>
        <v>1.6732567195645434E-2</v>
      </c>
      <c r="H627" s="4">
        <f t="shared" si="57"/>
        <v>0.56062131899687118</v>
      </c>
      <c r="I627" s="4">
        <f t="shared" si="58"/>
        <v>-1.0760866648615686</v>
      </c>
    </row>
    <row r="628" spans="1:9" x14ac:dyDescent="0.25">
      <c r="A628" s="3">
        <v>41087</v>
      </c>
      <c r="B628" s="4" t="s">
        <v>0</v>
      </c>
      <c r="C628" s="4">
        <v>283.58752229999999</v>
      </c>
      <c r="D628" s="6">
        <f t="shared" si="54"/>
        <v>8.1815789346767562E-3</v>
      </c>
      <c r="E628" s="4">
        <f t="shared" si="55"/>
        <v>-3.813585862057886E-3</v>
      </c>
      <c r="F628" s="6">
        <f t="shared" si="56"/>
        <v>1.1995164796734643E-2</v>
      </c>
      <c r="G628" s="4">
        <f t="shared" si="59"/>
        <v>2.0905039141560566E-2</v>
      </c>
      <c r="H628" s="4">
        <f t="shared" si="57"/>
        <v>0.57379298433780412</v>
      </c>
      <c r="I628" s="4">
        <f t="shared" si="58"/>
        <v>-1.0835577276423145</v>
      </c>
    </row>
    <row r="629" spans="1:9" x14ac:dyDescent="0.25">
      <c r="A629" s="3">
        <v>41088</v>
      </c>
      <c r="B629" s="4" t="s">
        <v>0</v>
      </c>
      <c r="C629" s="4">
        <v>281.10183080000002</v>
      </c>
      <c r="D629" s="6">
        <f t="shared" si="54"/>
        <v>-8.7651652648187521E-3</v>
      </c>
      <c r="E629" s="4">
        <f t="shared" si="55"/>
        <v>-3.0632365804664158E-3</v>
      </c>
      <c r="F629" s="6">
        <f t="shared" si="56"/>
        <v>-5.7019286843523363E-3</v>
      </c>
      <c r="G629" s="4">
        <f t="shared" si="59"/>
        <v>2.1853237425238255E-2</v>
      </c>
      <c r="H629" s="4">
        <f t="shared" si="57"/>
        <v>-0.26091917519585411</v>
      </c>
      <c r="I629" s="4">
        <f t="shared" si="58"/>
        <v>-0.9529779411971151</v>
      </c>
    </row>
    <row r="630" spans="1:9" x14ac:dyDescent="0.25">
      <c r="A630" s="3">
        <v>41089</v>
      </c>
      <c r="B630" s="4" t="s">
        <v>0</v>
      </c>
      <c r="C630" s="4">
        <v>288.95243040000003</v>
      </c>
      <c r="D630" s="6">
        <f t="shared" si="54"/>
        <v>2.7927956134820055E-2</v>
      </c>
      <c r="E630" s="4">
        <f t="shared" si="55"/>
        <v>5.3013392943742441E-3</v>
      </c>
      <c r="F630" s="6">
        <f t="shared" si="56"/>
        <v>2.2626616840445812E-2</v>
      </c>
      <c r="G630" s="4">
        <f t="shared" si="59"/>
        <v>1.3222471578923495E-2</v>
      </c>
      <c r="H630" s="4">
        <f t="shared" si="57"/>
        <v>1.7112244640035712</v>
      </c>
      <c r="I630" s="4">
        <f t="shared" si="58"/>
        <v>-2.3830831163068273</v>
      </c>
    </row>
    <row r="631" spans="1:9" x14ac:dyDescent="0.25">
      <c r="A631" s="3">
        <v>41092</v>
      </c>
      <c r="B631" s="4" t="s">
        <v>0</v>
      </c>
      <c r="C631" s="4">
        <v>289.15168</v>
      </c>
      <c r="D631" s="6">
        <f t="shared" si="54"/>
        <v>6.8955848450262167E-4</v>
      </c>
      <c r="E631" s="4">
        <f t="shared" si="55"/>
        <v>-8.4455530577650208E-4</v>
      </c>
      <c r="F631" s="6">
        <f t="shared" si="56"/>
        <v>1.5341137902791238E-3</v>
      </c>
      <c r="G631" s="4">
        <f t="shared" si="59"/>
        <v>5.9252975153259967E-2</v>
      </c>
      <c r="H631" s="4">
        <f t="shared" si="57"/>
        <v>2.589091579471044E-2</v>
      </c>
      <c r="I631" s="4">
        <f t="shared" si="58"/>
        <v>-0.91927370296501709</v>
      </c>
    </row>
    <row r="632" spans="1:9" x14ac:dyDescent="0.25">
      <c r="A632" s="3">
        <v>41093</v>
      </c>
      <c r="B632" s="4" t="s">
        <v>0</v>
      </c>
      <c r="C632" s="4">
        <v>292.81794600000001</v>
      </c>
      <c r="D632" s="6">
        <f t="shared" si="54"/>
        <v>1.2679386818710538E-2</v>
      </c>
      <c r="E632" s="4">
        <f t="shared" si="55"/>
        <v>7.9919397489575661E-3</v>
      </c>
      <c r="F632" s="6">
        <f t="shared" si="56"/>
        <v>4.6874470697529716E-3</v>
      </c>
      <c r="G632" s="4">
        <f t="shared" si="59"/>
        <v>2.3177609878038428E-2</v>
      </c>
      <c r="H632" s="4">
        <f t="shared" si="57"/>
        <v>0.20224031271638956</v>
      </c>
      <c r="I632" s="4">
        <f t="shared" si="58"/>
        <v>-0.93938910524848418</v>
      </c>
    </row>
    <row r="633" spans="1:9" x14ac:dyDescent="0.25">
      <c r="A633" s="3">
        <v>41095</v>
      </c>
      <c r="B633" s="4" t="s">
        <v>0</v>
      </c>
      <c r="C633" s="4">
        <v>296.84785979999998</v>
      </c>
      <c r="D633" s="6">
        <f t="shared" si="54"/>
        <v>1.3762523284689574E-2</v>
      </c>
      <c r="E633" s="4">
        <f t="shared" si="55"/>
        <v>8.8168558135395449E-3</v>
      </c>
      <c r="F633" s="6">
        <f t="shared" si="56"/>
        <v>4.9456674711500295E-3</v>
      </c>
      <c r="G633" s="4">
        <f t="shared" si="59"/>
        <v>1.2304706388825044E-2</v>
      </c>
      <c r="H633" s="4">
        <f t="shared" si="57"/>
        <v>0.4019329933497327</v>
      </c>
      <c r="I633" s="4">
        <f t="shared" si="58"/>
        <v>-0.9997135987762108</v>
      </c>
    </row>
    <row r="634" spans="1:9" x14ac:dyDescent="0.25">
      <c r="A634" s="3">
        <v>41096</v>
      </c>
      <c r="B634" s="4" t="s">
        <v>0</v>
      </c>
      <c r="C634" s="4">
        <v>291.89640509999998</v>
      </c>
      <c r="D634" s="6">
        <f t="shared" si="54"/>
        <v>-1.6680109141888447E-2</v>
      </c>
      <c r="E634" s="4">
        <f t="shared" si="55"/>
        <v>5.0585201314922385E-3</v>
      </c>
      <c r="F634" s="6">
        <f t="shared" si="56"/>
        <v>-2.1738629273380685E-2</v>
      </c>
      <c r="G634" s="4">
        <f t="shared" si="59"/>
        <v>1.5419765353170177E-2</v>
      </c>
      <c r="H634" s="4">
        <f t="shared" si="57"/>
        <v>-1.4097898882041937</v>
      </c>
      <c r="I634" s="4">
        <f t="shared" si="58"/>
        <v>-1.912692297646069</v>
      </c>
    </row>
    <row r="635" spans="1:9" x14ac:dyDescent="0.25">
      <c r="A635" s="3">
        <v>41099</v>
      </c>
      <c r="B635" s="4" t="s">
        <v>0</v>
      </c>
      <c r="C635" s="4">
        <v>291.91135860000003</v>
      </c>
      <c r="D635" s="6">
        <f t="shared" si="54"/>
        <v>5.1228791238193005E-5</v>
      </c>
      <c r="E635" s="4">
        <f t="shared" si="55"/>
        <v>9.1438832852608568E-3</v>
      </c>
      <c r="F635" s="6">
        <f t="shared" si="56"/>
        <v>-9.0926544940226634E-3</v>
      </c>
      <c r="G635" s="4">
        <f t="shared" si="59"/>
        <v>4.9074133803921019E-2</v>
      </c>
      <c r="H635" s="4">
        <f t="shared" si="57"/>
        <v>-0.18528405473956958</v>
      </c>
      <c r="I635" s="4">
        <f t="shared" si="58"/>
        <v>-0.93610362367504063</v>
      </c>
    </row>
    <row r="636" spans="1:9" x14ac:dyDescent="0.25">
      <c r="A636" s="3">
        <v>41100</v>
      </c>
      <c r="B636" s="4" t="s">
        <v>0</v>
      </c>
      <c r="C636" s="4">
        <v>289.76438250000001</v>
      </c>
      <c r="D636" s="6">
        <f t="shared" si="54"/>
        <v>-7.3548905746486336E-3</v>
      </c>
      <c r="E636" s="4">
        <f t="shared" si="55"/>
        <v>-2.1616548409313929E-3</v>
      </c>
      <c r="F636" s="6">
        <f t="shared" si="56"/>
        <v>-5.1932357337172406E-3</v>
      </c>
      <c r="G636" s="4">
        <f t="shared" si="59"/>
        <v>2.0403415274081158E-2</v>
      </c>
      <c r="H636" s="4">
        <f t="shared" si="57"/>
        <v>-0.25452776723680692</v>
      </c>
      <c r="I636" s="4">
        <f t="shared" si="58"/>
        <v>-0.95133072535194974</v>
      </c>
    </row>
    <row r="637" spans="1:9" x14ac:dyDescent="0.25">
      <c r="A637" s="3">
        <v>41101</v>
      </c>
      <c r="B637" s="4" t="s">
        <v>0</v>
      </c>
      <c r="C637" s="4">
        <v>284.52899150000002</v>
      </c>
      <c r="D637" s="6">
        <f t="shared" si="54"/>
        <v>-1.8067751995019584E-2</v>
      </c>
      <c r="E637" s="4">
        <f t="shared" si="55"/>
        <v>-5.088883719775208E-3</v>
      </c>
      <c r="F637" s="6">
        <f t="shared" si="56"/>
        <v>-1.2978868275244377E-2</v>
      </c>
      <c r="G637" s="4">
        <f t="shared" si="59"/>
        <v>1.2728420414785507E-2</v>
      </c>
      <c r="H637" s="4">
        <f t="shared" si="57"/>
        <v>-1.0196762718622923</v>
      </c>
      <c r="I637" s="4">
        <f t="shared" si="58"/>
        <v>-1.4388083829041645</v>
      </c>
    </row>
    <row r="638" spans="1:9" x14ac:dyDescent="0.25">
      <c r="A638" s="3">
        <v>41102</v>
      </c>
      <c r="B638" s="4" t="s">
        <v>0</v>
      </c>
      <c r="C638" s="4">
        <v>284.17532260000002</v>
      </c>
      <c r="D638" s="6">
        <f t="shared" si="54"/>
        <v>-1.2429977631998263E-3</v>
      </c>
      <c r="E638" s="4">
        <f t="shared" si="55"/>
        <v>-2.7962942385109592E-3</v>
      </c>
      <c r="F638" s="6">
        <f t="shared" si="56"/>
        <v>1.5532964753111329E-3</v>
      </c>
      <c r="G638" s="4">
        <f t="shared" si="59"/>
        <v>3.5737363854223277E-2</v>
      </c>
      <c r="H638" s="4">
        <f t="shared" si="57"/>
        <v>4.346421525793575E-2</v>
      </c>
      <c r="I638" s="4">
        <f t="shared" si="58"/>
        <v>-0.91988310220866676</v>
      </c>
    </row>
    <row r="639" spans="1:9" x14ac:dyDescent="0.25">
      <c r="A639" s="3">
        <v>41103</v>
      </c>
      <c r="B639" s="4" t="s">
        <v>0</v>
      </c>
      <c r="C639" s="4">
        <v>287.18405569999999</v>
      </c>
      <c r="D639" s="6">
        <f t="shared" si="54"/>
        <v>1.0587594561245594E-2</v>
      </c>
      <c r="E639" s="4">
        <f t="shared" si="55"/>
        <v>-9.1594024580434717E-3</v>
      </c>
      <c r="F639" s="6">
        <f t="shared" si="56"/>
        <v>1.9746997019289066E-2</v>
      </c>
      <c r="G639" s="4">
        <f t="shared" si="59"/>
        <v>1.4598999228314953E-2</v>
      </c>
      <c r="H639" s="4">
        <f t="shared" si="57"/>
        <v>1.3526267595788006</v>
      </c>
      <c r="I639" s="4">
        <f t="shared" si="58"/>
        <v>-1.8337381085689959</v>
      </c>
    </row>
    <row r="640" spans="1:9" x14ac:dyDescent="0.25">
      <c r="A640" s="3">
        <v>41106</v>
      </c>
      <c r="B640" s="4" t="s">
        <v>0</v>
      </c>
      <c r="C640" s="4">
        <v>286.38705700000003</v>
      </c>
      <c r="D640" s="6">
        <f t="shared" si="54"/>
        <v>-2.77521918150124E-3</v>
      </c>
      <c r="E640" s="4">
        <f t="shared" si="55"/>
        <v>-6.0082494751021245E-3</v>
      </c>
      <c r="F640" s="6">
        <f t="shared" si="56"/>
        <v>3.2330302936008845E-3</v>
      </c>
      <c r="G640" s="4">
        <f t="shared" si="59"/>
        <v>4.7096327961759367E-2</v>
      </c>
      <c r="H640" s="4">
        <f t="shared" si="57"/>
        <v>6.8647184048531262E-2</v>
      </c>
      <c r="I640" s="4">
        <f t="shared" si="58"/>
        <v>-0.92129475114356907</v>
      </c>
    </row>
    <row r="641" spans="1:9" x14ac:dyDescent="0.25">
      <c r="A641" s="3">
        <v>41107</v>
      </c>
      <c r="B641" s="4" t="s">
        <v>0</v>
      </c>
      <c r="C641" s="4">
        <v>287.28867000000002</v>
      </c>
      <c r="D641" s="6">
        <f t="shared" si="54"/>
        <v>3.1482323588387499E-3</v>
      </c>
      <c r="E641" s="4">
        <f t="shared" si="55"/>
        <v>3.6666910416584351E-3</v>
      </c>
      <c r="F641" s="6">
        <f t="shared" si="56"/>
        <v>-5.184586828196852E-4</v>
      </c>
      <c r="G641" s="4">
        <f t="shared" si="59"/>
        <v>1.8803710000443008E-2</v>
      </c>
      <c r="H641" s="4">
        <f t="shared" si="57"/>
        <v>-2.7572148411535304E-2</v>
      </c>
      <c r="I641" s="4">
        <f t="shared" si="58"/>
        <v>-0.91931864488868642</v>
      </c>
    </row>
    <row r="642" spans="1:9" x14ac:dyDescent="0.25">
      <c r="A642" s="3">
        <v>41108</v>
      </c>
      <c r="B642" s="4" t="s">
        <v>0</v>
      </c>
      <c r="C642" s="4">
        <v>289.29615050000001</v>
      </c>
      <c r="D642" s="6">
        <f t="shared" si="54"/>
        <v>6.9876772376717307E-3</v>
      </c>
      <c r="E642" s="4">
        <f t="shared" si="55"/>
        <v>2.1816286042183235E-3</v>
      </c>
      <c r="F642" s="6">
        <f t="shared" si="56"/>
        <v>4.8060486334534072E-3</v>
      </c>
      <c r="G642" s="4">
        <f t="shared" si="59"/>
        <v>8.7868749414346213E-3</v>
      </c>
      <c r="H642" s="4">
        <f t="shared" si="57"/>
        <v>0.54695766873731444</v>
      </c>
      <c r="I642" s="4">
        <f t="shared" si="58"/>
        <v>-1.0685198788999515</v>
      </c>
    </row>
    <row r="643" spans="1:9" x14ac:dyDescent="0.25">
      <c r="A643" s="3">
        <v>41109</v>
      </c>
      <c r="B643" s="4" t="s">
        <v>0</v>
      </c>
      <c r="C643" s="4">
        <v>295.42317489999999</v>
      </c>
      <c r="D643" s="6">
        <f t="shared" si="54"/>
        <v>2.1179073380030965E-2</v>
      </c>
      <c r="E643" s="4">
        <f t="shared" si="55"/>
        <v>3.5372654281299741E-4</v>
      </c>
      <c r="F643" s="6">
        <f t="shared" si="56"/>
        <v>2.0825346837217967E-2</v>
      </c>
      <c r="G643" s="4">
        <f t="shared" si="59"/>
        <v>1.9737970118364364E-2</v>
      </c>
      <c r="H643" s="4">
        <f t="shared" si="57"/>
        <v>1.0550906051804132</v>
      </c>
      <c r="I643" s="4">
        <f t="shared" si="58"/>
        <v>-1.4755466257746579</v>
      </c>
    </row>
    <row r="644" spans="1:9" x14ac:dyDescent="0.25">
      <c r="A644" s="3">
        <v>41110</v>
      </c>
      <c r="B644" s="4" t="s">
        <v>0</v>
      </c>
      <c r="C644" s="4">
        <v>304.27005309999998</v>
      </c>
      <c r="D644" s="6">
        <f t="shared" ref="D644:D707" si="60">(C644-C643)/C643</f>
        <v>2.9946459694621581E-2</v>
      </c>
      <c r="E644" s="4">
        <f t="shared" si="55"/>
        <v>3.6358204931740655E-3</v>
      </c>
      <c r="F644" s="6">
        <f t="shared" si="56"/>
        <v>2.6310639201447515E-2</v>
      </c>
      <c r="G644" s="4">
        <f t="shared" si="59"/>
        <v>3.7378559620397378E-2</v>
      </c>
      <c r="H644" s="4">
        <f t="shared" si="57"/>
        <v>0.7038965510883376</v>
      </c>
      <c r="I644" s="4">
        <f t="shared" si="58"/>
        <v>-1.1666737105217011</v>
      </c>
    </row>
    <row r="645" spans="1:9" x14ac:dyDescent="0.25">
      <c r="A645" s="3">
        <v>41113</v>
      </c>
      <c r="B645" s="4" t="s">
        <v>0</v>
      </c>
      <c r="C645" s="4">
        <v>306.60629979999999</v>
      </c>
      <c r="D645" s="6">
        <f t="shared" si="60"/>
        <v>7.6782012432626218E-3</v>
      </c>
      <c r="E645" s="4">
        <f t="shared" si="55"/>
        <v>1.0236910138094642E-2</v>
      </c>
      <c r="F645" s="6">
        <f t="shared" si="56"/>
        <v>-2.5587088948320199E-3</v>
      </c>
      <c r="G645" s="4">
        <f t="shared" si="59"/>
        <v>2.852948464817406E-2</v>
      </c>
      <c r="H645" s="4">
        <f t="shared" si="57"/>
        <v>-8.9686474410107575E-2</v>
      </c>
      <c r="I645" s="4">
        <f t="shared" si="58"/>
        <v>-0.9229603650507302</v>
      </c>
    </row>
    <row r="646" spans="1:9" x14ac:dyDescent="0.25">
      <c r="A646" s="3">
        <v>41114</v>
      </c>
      <c r="B646" s="4" t="s">
        <v>0</v>
      </c>
      <c r="C646" s="4">
        <v>302.65112329999999</v>
      </c>
      <c r="D646" s="6">
        <f t="shared" si="60"/>
        <v>-1.2899853990540847E-2</v>
      </c>
      <c r="E646" s="4">
        <f t="shared" si="55"/>
        <v>1.7934200808889203E-2</v>
      </c>
      <c r="F646" s="6">
        <f t="shared" si="56"/>
        <v>-3.083405479943005E-2</v>
      </c>
      <c r="G646" s="4">
        <f t="shared" si="59"/>
        <v>1.2365311951629052E-2</v>
      </c>
      <c r="H646" s="4">
        <f t="shared" si="57"/>
        <v>-2.4935929574641955</v>
      </c>
      <c r="I646" s="4">
        <f t="shared" si="58"/>
        <v>-4.0279414519621897</v>
      </c>
    </row>
    <row r="647" spans="1:9" x14ac:dyDescent="0.25">
      <c r="A647" s="3">
        <v>41115</v>
      </c>
      <c r="B647" s="4" t="s">
        <v>0</v>
      </c>
      <c r="C647" s="4">
        <v>302.86032169999999</v>
      </c>
      <c r="D647" s="6">
        <f t="shared" si="60"/>
        <v>6.9121963837096099E-4</v>
      </c>
      <c r="E647" s="4">
        <f t="shared" ref="E647:E710" si="61">+$M$16*D646+$M$17*D645+$M$18*D644</f>
        <v>1.2106128288734636E-2</v>
      </c>
      <c r="F647" s="6">
        <f t="shared" ref="F647:F710" si="62">D647-E647</f>
        <v>-1.1414908650363674E-2</v>
      </c>
      <c r="G647" s="4">
        <f t="shared" si="59"/>
        <v>8.5997126345337987E-2</v>
      </c>
      <c r="H647" s="4">
        <f t="shared" ref="H647:H710" si="63">F647/G647</f>
        <v>-0.13273593125106198</v>
      </c>
      <c r="I647" s="4">
        <f t="shared" ref="I647:I710" si="64">LN(_xlfn.NORM.DIST(H647,0,1,FALSE))</f>
        <v>-0.92774794692721596</v>
      </c>
    </row>
    <row r="648" spans="1:9" x14ac:dyDescent="0.25">
      <c r="A648" s="3">
        <v>41116</v>
      </c>
      <c r="B648" s="4" t="s">
        <v>0</v>
      </c>
      <c r="C648" s="4">
        <v>305.53531409999999</v>
      </c>
      <c r="D648" s="6">
        <f t="shared" si="60"/>
        <v>8.8324293687098987E-3</v>
      </c>
      <c r="E648" s="4">
        <f t="shared" si="61"/>
        <v>-2.5798661453440251E-3</v>
      </c>
      <c r="F648" s="6">
        <f t="shared" si="62"/>
        <v>1.1412295514053924E-2</v>
      </c>
      <c r="G648" s="4">
        <f t="shared" ref="G648:G711" si="65">SQRT($M$12 + $M$13 *H647^2+$M$14*G647^2)</f>
        <v>3.3515791633371046E-2</v>
      </c>
      <c r="H648" s="4">
        <f t="shared" si="63"/>
        <v>0.34050502637362484</v>
      </c>
      <c r="I648" s="4">
        <f t="shared" si="64"/>
        <v>-0.97691036969752409</v>
      </c>
    </row>
    <row r="649" spans="1:9" x14ac:dyDescent="0.25">
      <c r="A649" s="3">
        <v>41117</v>
      </c>
      <c r="B649" s="4" t="s">
        <v>0</v>
      </c>
      <c r="C649" s="4">
        <v>316.29500669999999</v>
      </c>
      <c r="D649" s="6">
        <f t="shared" si="60"/>
        <v>3.5215872285317591E-2</v>
      </c>
      <c r="E649" s="4">
        <f t="shared" si="61"/>
        <v>-3.6861932685579944E-3</v>
      </c>
      <c r="F649" s="6">
        <f t="shared" si="62"/>
        <v>3.8902065553875584E-2</v>
      </c>
      <c r="G649" s="4">
        <f t="shared" si="65"/>
        <v>1.8041637771929922E-2</v>
      </c>
      <c r="H649" s="4">
        <f t="shared" si="63"/>
        <v>2.1562380336890121</v>
      </c>
      <c r="I649" s="4">
        <f t="shared" si="64"/>
        <v>-3.2436197621682012</v>
      </c>
    </row>
    <row r="650" spans="1:9" x14ac:dyDescent="0.25">
      <c r="A650" s="3">
        <v>41120</v>
      </c>
      <c r="B650" s="4" t="s">
        <v>0</v>
      </c>
      <c r="C650" s="4">
        <v>314.96996130000002</v>
      </c>
      <c r="D650" s="6">
        <f t="shared" si="60"/>
        <v>-4.1892706869594886E-3</v>
      </c>
      <c r="E650" s="4">
        <f t="shared" si="61"/>
        <v>3.5888460508689945E-3</v>
      </c>
      <c r="F650" s="6">
        <f t="shared" si="62"/>
        <v>-7.7781167378284831E-3</v>
      </c>
      <c r="G650" s="4">
        <f t="shared" si="65"/>
        <v>7.4611225964538758E-2</v>
      </c>
      <c r="H650" s="4">
        <f t="shared" si="63"/>
        <v>-0.10424861188482908</v>
      </c>
      <c r="I650" s="4">
        <f t="shared" si="64"/>
        <v>-0.92437241974462958</v>
      </c>
    </row>
    <row r="651" spans="1:9" x14ac:dyDescent="0.25">
      <c r="A651" s="3">
        <v>41121</v>
      </c>
      <c r="B651" s="4" t="s">
        <v>0</v>
      </c>
      <c r="C651" s="4">
        <v>315.3037023</v>
      </c>
      <c r="D651" s="6">
        <f t="shared" si="60"/>
        <v>1.0595962822057691E-3</v>
      </c>
      <c r="E651" s="4">
        <f t="shared" si="61"/>
        <v>1.6167163337394139E-2</v>
      </c>
      <c r="F651" s="6">
        <f t="shared" si="62"/>
        <v>-1.510756705518837E-2</v>
      </c>
      <c r="G651" s="4">
        <f t="shared" si="65"/>
        <v>2.9135016961982528E-2</v>
      </c>
      <c r="H651" s="4">
        <f t="shared" si="63"/>
        <v>-0.51853640843600035</v>
      </c>
      <c r="I651" s="4">
        <f t="shared" si="64"/>
        <v>-1.053378536641526</v>
      </c>
    </row>
    <row r="652" spans="1:9" x14ac:dyDescent="0.25">
      <c r="A652" s="3">
        <v>41122</v>
      </c>
      <c r="B652" s="4" t="s">
        <v>0</v>
      </c>
      <c r="C652" s="4">
        <v>315.1592622</v>
      </c>
      <c r="D652" s="6">
        <f t="shared" si="60"/>
        <v>-4.5809833169217778E-4</v>
      </c>
      <c r="E652" s="4">
        <f t="shared" si="61"/>
        <v>9.183488862360617E-3</v>
      </c>
      <c r="F652" s="6">
        <f t="shared" si="62"/>
        <v>-9.6415871940527947E-3</v>
      </c>
      <c r="G652" s="4">
        <f t="shared" si="65"/>
        <v>2.1592721954784719E-2</v>
      </c>
      <c r="H652" s="4">
        <f t="shared" si="63"/>
        <v>-0.44652023094829513</v>
      </c>
      <c r="I652" s="4">
        <f t="shared" si="64"/>
        <v>-1.0186286915277321</v>
      </c>
    </row>
    <row r="653" spans="1:9" x14ac:dyDescent="0.25">
      <c r="A653" s="3">
        <v>41123</v>
      </c>
      <c r="B653" s="4" t="s">
        <v>0</v>
      </c>
      <c r="C653" s="4">
        <v>313.20158709999998</v>
      </c>
      <c r="D653" s="6">
        <f t="shared" si="60"/>
        <v>-6.2117009867781615E-3</v>
      </c>
      <c r="E653" s="4">
        <f t="shared" si="61"/>
        <v>-8.7792093976556194E-4</v>
      </c>
      <c r="F653" s="6">
        <f t="shared" si="62"/>
        <v>-5.3337800470125993E-3</v>
      </c>
      <c r="G653" s="4">
        <f t="shared" si="65"/>
        <v>1.8120609889514052E-2</v>
      </c>
      <c r="H653" s="4">
        <f t="shared" si="63"/>
        <v>-0.29434881494243337</v>
      </c>
      <c r="I653" s="4">
        <f t="shared" si="64"/>
        <v>-0.96225914563368009</v>
      </c>
    </row>
    <row r="654" spans="1:9" x14ac:dyDescent="0.25">
      <c r="A654" s="3">
        <v>41124</v>
      </c>
      <c r="B654" s="4" t="s">
        <v>0</v>
      </c>
      <c r="C654" s="4">
        <v>319.4681076</v>
      </c>
      <c r="D654" s="6">
        <f t="shared" si="60"/>
        <v>2.0007946185787426E-2</v>
      </c>
      <c r="E654" s="4">
        <f t="shared" si="61"/>
        <v>1.4925799884690273E-4</v>
      </c>
      <c r="F654" s="6">
        <f t="shared" si="62"/>
        <v>1.9858688186940521E-2</v>
      </c>
      <c r="G654" s="4">
        <f t="shared" si="65"/>
        <v>1.3229804961896095E-2</v>
      </c>
      <c r="H654" s="4">
        <f t="shared" si="63"/>
        <v>1.5010567611644046</v>
      </c>
      <c r="I654" s="4">
        <f t="shared" si="64"/>
        <v>-2.0455242333233588</v>
      </c>
    </row>
    <row r="655" spans="1:9" x14ac:dyDescent="0.25">
      <c r="A655" s="3">
        <v>41127</v>
      </c>
      <c r="B655" s="4" t="s">
        <v>0</v>
      </c>
      <c r="C655" s="4">
        <v>320.21032709999997</v>
      </c>
      <c r="D655" s="6">
        <f t="shared" si="60"/>
        <v>2.3232976386152919E-3</v>
      </c>
      <c r="E655" s="4">
        <f t="shared" si="61"/>
        <v>-2.5144976565347758E-3</v>
      </c>
      <c r="F655" s="6">
        <f t="shared" si="62"/>
        <v>4.8377952951500682E-3</v>
      </c>
      <c r="G655" s="4">
        <f t="shared" si="65"/>
        <v>5.2087323120717399E-2</v>
      </c>
      <c r="H655" s="4">
        <f t="shared" si="63"/>
        <v>9.2878554805706004E-2</v>
      </c>
      <c r="I655" s="4">
        <f t="shared" si="64"/>
        <v>-0.92325174617607098</v>
      </c>
    </row>
    <row r="656" spans="1:9" x14ac:dyDescent="0.25">
      <c r="A656" s="3">
        <v>41128</v>
      </c>
      <c r="B656" s="4" t="s">
        <v>0</v>
      </c>
      <c r="C656" s="4">
        <v>319.07458259999999</v>
      </c>
      <c r="D656" s="6">
        <f t="shared" si="60"/>
        <v>-3.5468703032969333E-3</v>
      </c>
      <c r="E656" s="4">
        <f t="shared" si="61"/>
        <v>5.7463213040357345E-3</v>
      </c>
      <c r="F656" s="6">
        <f t="shared" si="62"/>
        <v>-9.2931916073326678E-3</v>
      </c>
      <c r="G656" s="4">
        <f t="shared" si="65"/>
        <v>2.0744685116211695E-2</v>
      </c>
      <c r="H656" s="4">
        <f t="shared" si="63"/>
        <v>-0.44797940076083209</v>
      </c>
      <c r="I656" s="4">
        <f t="shared" si="64"/>
        <v>-1.0192813049576899</v>
      </c>
    </row>
    <row r="657" spans="1:9" x14ac:dyDescent="0.25">
      <c r="A657" s="3">
        <v>41129</v>
      </c>
      <c r="B657" s="4" t="s">
        <v>0</v>
      </c>
      <c r="C657" s="4">
        <v>319.91641170000003</v>
      </c>
      <c r="D657" s="6">
        <f t="shared" si="60"/>
        <v>2.6383458473575104E-3</v>
      </c>
      <c r="E657" s="4">
        <f t="shared" si="61"/>
        <v>7.015555244173995E-3</v>
      </c>
      <c r="F657" s="6">
        <f t="shared" si="62"/>
        <v>-4.3772093968164841E-3</v>
      </c>
      <c r="G657" s="4">
        <f t="shared" si="65"/>
        <v>1.8018518311090439E-2</v>
      </c>
      <c r="H657" s="4">
        <f t="shared" si="63"/>
        <v>-0.24292837630951608</v>
      </c>
      <c r="I657" s="4">
        <f t="shared" si="64"/>
        <v>-0.94844563121286163</v>
      </c>
    </row>
    <row r="658" spans="1:9" x14ac:dyDescent="0.25">
      <c r="A658" s="3">
        <v>41130</v>
      </c>
      <c r="B658" s="4" t="s">
        <v>0</v>
      </c>
      <c r="C658" s="4">
        <v>319.97619570000001</v>
      </c>
      <c r="D658" s="6">
        <f t="shared" si="60"/>
        <v>1.8687381395125589E-4</v>
      </c>
      <c r="E658" s="4">
        <f t="shared" si="61"/>
        <v>-6.4432699458020289E-4</v>
      </c>
      <c r="F658" s="6">
        <f t="shared" si="62"/>
        <v>8.3120080853145884E-4</v>
      </c>
      <c r="G658" s="4">
        <f t="shared" si="65"/>
        <v>1.1909679756766753E-2</v>
      </c>
      <c r="H658" s="4">
        <f t="shared" si="63"/>
        <v>6.9792036856338932E-2</v>
      </c>
      <c r="I658" s="4">
        <f t="shared" si="64"/>
        <v>-0.92137399740895087</v>
      </c>
    </row>
    <row r="659" spans="1:9" x14ac:dyDescent="0.25">
      <c r="A659" s="3">
        <v>41131</v>
      </c>
      <c r="B659" s="4" t="s">
        <v>0</v>
      </c>
      <c r="C659" s="4">
        <v>319.80184819999999</v>
      </c>
      <c r="D659" s="6">
        <f t="shared" si="60"/>
        <v>-5.4487647000926677E-4</v>
      </c>
      <c r="E659" s="4">
        <f t="shared" si="61"/>
        <v>-7.7648353721127732E-5</v>
      </c>
      <c r="F659" s="6">
        <f t="shared" si="62"/>
        <v>-4.6722811628813904E-4</v>
      </c>
      <c r="G659" s="4">
        <f t="shared" si="65"/>
        <v>7.1562422889168056E-3</v>
      </c>
      <c r="H659" s="4">
        <f t="shared" si="63"/>
        <v>-6.5289588784850985E-2</v>
      </c>
      <c r="I659" s="4">
        <f t="shared" si="64"/>
        <v>-0.9210698984065202</v>
      </c>
    </row>
    <row r="660" spans="1:9" x14ac:dyDescent="0.25">
      <c r="A660" s="3">
        <v>41134</v>
      </c>
      <c r="B660" s="4" t="s">
        <v>0</v>
      </c>
      <c r="C660" s="4">
        <v>328.77323819999998</v>
      </c>
      <c r="D660" s="6">
        <f t="shared" si="60"/>
        <v>2.8052964829613468E-2</v>
      </c>
      <c r="E660" s="4">
        <f t="shared" si="61"/>
        <v>8.7942632980745272E-4</v>
      </c>
      <c r="F660" s="6">
        <f t="shared" si="62"/>
        <v>2.7173538499806017E-2</v>
      </c>
      <c r="G660" s="4">
        <f t="shared" si="65"/>
        <v>6.1062500381628736E-3</v>
      </c>
      <c r="H660" s="4">
        <f t="shared" si="63"/>
        <v>4.4501188667310858</v>
      </c>
      <c r="I660" s="4">
        <f t="shared" si="64"/>
        <v>-10.820717497222654</v>
      </c>
    </row>
    <row r="661" spans="1:9" x14ac:dyDescent="0.25">
      <c r="A661" s="3">
        <v>41135</v>
      </c>
      <c r="B661" s="4" t="s">
        <v>0</v>
      </c>
      <c r="C661" s="4">
        <v>333.08211399999999</v>
      </c>
      <c r="D661" s="6">
        <f t="shared" si="60"/>
        <v>1.3105920127777632E-2</v>
      </c>
      <c r="E661" s="4">
        <f t="shared" si="61"/>
        <v>-1.5050336830551219E-4</v>
      </c>
      <c r="F661" s="6">
        <f t="shared" si="62"/>
        <v>1.3256423496083145E-2</v>
      </c>
      <c r="G661" s="4">
        <f t="shared" si="65"/>
        <v>0.15308187983870958</v>
      </c>
      <c r="H661" s="4">
        <f t="shared" si="63"/>
        <v>8.6596947398675808E-2</v>
      </c>
      <c r="I661" s="4">
        <f t="shared" si="64"/>
        <v>-0.9226880488540572</v>
      </c>
    </row>
    <row r="662" spans="1:9" x14ac:dyDescent="0.25">
      <c r="A662" s="3">
        <v>41136</v>
      </c>
      <c r="B662" s="4" t="s">
        <v>0</v>
      </c>
      <c r="C662" s="4">
        <v>332.52419070000002</v>
      </c>
      <c r="D662" s="6">
        <f t="shared" si="60"/>
        <v>-1.6750323014941906E-3</v>
      </c>
      <c r="E662" s="4">
        <f t="shared" si="61"/>
        <v>1.0557457931613794E-2</v>
      </c>
      <c r="F662" s="6">
        <f t="shared" si="62"/>
        <v>-1.2232490233107985E-2</v>
      </c>
      <c r="G662" s="4">
        <f t="shared" si="65"/>
        <v>5.8724327486971789E-2</v>
      </c>
      <c r="H662" s="4">
        <f t="shared" si="63"/>
        <v>-0.20830362401036961</v>
      </c>
      <c r="I662" s="4">
        <f t="shared" si="64"/>
        <v>-0.94063373309259946</v>
      </c>
    </row>
    <row r="663" spans="1:9" x14ac:dyDescent="0.25">
      <c r="A663" s="3">
        <v>41137</v>
      </c>
      <c r="B663" s="4" t="s">
        <v>0</v>
      </c>
      <c r="C663" s="4">
        <v>335.17925539999999</v>
      </c>
      <c r="D663" s="6">
        <f t="shared" si="60"/>
        <v>7.9845760827528516E-3</v>
      </c>
      <c r="E663" s="4">
        <f t="shared" si="61"/>
        <v>1.3601369922127272E-2</v>
      </c>
      <c r="F663" s="6">
        <f t="shared" si="62"/>
        <v>-5.6167938393744208E-3</v>
      </c>
      <c r="G663" s="4">
        <f t="shared" si="65"/>
        <v>2.405409744342895E-2</v>
      </c>
      <c r="H663" s="4">
        <f t="shared" si="63"/>
        <v>-0.23350673840846209</v>
      </c>
      <c r="I663" s="4">
        <f t="shared" si="64"/>
        <v>-0.94620123164575165</v>
      </c>
    </row>
    <row r="664" spans="1:9" x14ac:dyDescent="0.25">
      <c r="A664" s="3">
        <v>41138</v>
      </c>
      <c r="B664" s="4" t="s">
        <v>0</v>
      </c>
      <c r="C664" s="4">
        <v>337.30627279999999</v>
      </c>
      <c r="D664" s="6">
        <f t="shared" si="60"/>
        <v>6.3459100339059941E-3</v>
      </c>
      <c r="E664" s="4">
        <f t="shared" si="61"/>
        <v>3.3735466866445961E-3</v>
      </c>
      <c r="F664" s="6">
        <f t="shared" si="62"/>
        <v>2.972363347261398E-3</v>
      </c>
      <c r="G664" s="4">
        <f t="shared" si="65"/>
        <v>1.3173443383497815E-2</v>
      </c>
      <c r="H664" s="4">
        <f t="shared" si="63"/>
        <v>0.22563298453803166</v>
      </c>
      <c r="I664" s="4">
        <f t="shared" si="64"/>
        <v>-0.94439365506044248</v>
      </c>
    </row>
    <row r="665" spans="1:9" x14ac:dyDescent="0.25">
      <c r="A665" s="3">
        <v>41141</v>
      </c>
      <c r="B665" s="4" t="s">
        <v>0</v>
      </c>
      <c r="C665" s="4">
        <v>336.50927460000003</v>
      </c>
      <c r="D665" s="6">
        <f t="shared" si="60"/>
        <v>-2.3628324293646571E-3</v>
      </c>
      <c r="E665" s="4">
        <f t="shared" si="61"/>
        <v>2.5394820660949811E-3</v>
      </c>
      <c r="F665" s="6">
        <f t="shared" si="62"/>
        <v>-4.9023144954596382E-3</v>
      </c>
      <c r="G665" s="4">
        <f t="shared" si="65"/>
        <v>1.0499541783228929E-2</v>
      </c>
      <c r="H665" s="4">
        <f t="shared" si="63"/>
        <v>-0.46690747050411063</v>
      </c>
      <c r="I665" s="4">
        <f t="shared" si="64"/>
        <v>-1.027939826210946</v>
      </c>
    </row>
    <row r="666" spans="1:9" x14ac:dyDescent="0.25">
      <c r="A666" s="3">
        <v>41142</v>
      </c>
      <c r="B666" s="4" t="s">
        <v>0</v>
      </c>
      <c r="C666" s="4">
        <v>333.505516</v>
      </c>
      <c r="D666" s="6">
        <f t="shared" si="60"/>
        <v>-8.9262282698464018E-3</v>
      </c>
      <c r="E666" s="4">
        <f t="shared" si="61"/>
        <v>4.8711563515096909E-3</v>
      </c>
      <c r="F666" s="6">
        <f t="shared" si="62"/>
        <v>-1.3797384621356093E-2</v>
      </c>
      <c r="G666" s="4">
        <f t="shared" si="65"/>
        <v>1.7276744213152759E-2</v>
      </c>
      <c r="H666" s="4">
        <f t="shared" si="63"/>
        <v>-0.79861022720080355</v>
      </c>
      <c r="I666" s="4">
        <f t="shared" si="64"/>
        <v>-1.2378276806995321</v>
      </c>
    </row>
    <row r="667" spans="1:9" x14ac:dyDescent="0.25">
      <c r="A667" s="3">
        <v>41143</v>
      </c>
      <c r="B667" s="4" t="s">
        <v>0</v>
      </c>
      <c r="C667" s="4">
        <v>337.32620109999999</v>
      </c>
      <c r="D667" s="6">
        <f t="shared" si="60"/>
        <v>1.1456137655006556E-2</v>
      </c>
      <c r="E667" s="4">
        <f t="shared" si="61"/>
        <v>1.0400087284908944E-3</v>
      </c>
      <c r="F667" s="6">
        <f t="shared" si="62"/>
        <v>1.0416128926515661E-2</v>
      </c>
      <c r="G667" s="4">
        <f t="shared" si="65"/>
        <v>2.8670692575388412E-2</v>
      </c>
      <c r="H667" s="4">
        <f t="shared" si="63"/>
        <v>0.36330231294995324</v>
      </c>
      <c r="I667" s="4">
        <f t="shared" si="64"/>
        <v>-0.98493281850206549</v>
      </c>
    </row>
    <row r="668" spans="1:9" x14ac:dyDescent="0.25">
      <c r="A668" s="3">
        <v>41144</v>
      </c>
      <c r="B668" s="4" t="s">
        <v>0</v>
      </c>
      <c r="C668" s="4">
        <v>337.13690009999999</v>
      </c>
      <c r="D668" s="6">
        <f t="shared" si="60"/>
        <v>-5.6118083736958902E-4</v>
      </c>
      <c r="E668" s="4">
        <f t="shared" si="61"/>
        <v>-4.1357050897012863E-3</v>
      </c>
      <c r="F668" s="6">
        <f t="shared" si="62"/>
        <v>3.5745242523316971E-3</v>
      </c>
      <c r="G668" s="4">
        <f t="shared" si="65"/>
        <v>1.7336552278553605E-2</v>
      </c>
      <c r="H668" s="4">
        <f t="shared" si="63"/>
        <v>0.20618426287408981</v>
      </c>
      <c r="I668" s="4">
        <f t="shared" si="64"/>
        <v>-0.94019450833313856</v>
      </c>
    </row>
    <row r="669" spans="1:9" x14ac:dyDescent="0.25">
      <c r="A669" s="3">
        <v>41145</v>
      </c>
      <c r="B669" s="4" t="s">
        <v>0</v>
      </c>
      <c r="C669" s="4">
        <v>338.04849230000002</v>
      </c>
      <c r="D669" s="6">
        <f t="shared" si="60"/>
        <v>2.7039229456331756E-3</v>
      </c>
      <c r="E669" s="4">
        <f t="shared" si="61"/>
        <v>1.6457549578282088E-3</v>
      </c>
      <c r="F669" s="6">
        <f t="shared" si="62"/>
        <v>1.0581679878049668E-3</v>
      </c>
      <c r="G669" s="4">
        <f t="shared" si="65"/>
        <v>1.0900668855584727E-2</v>
      </c>
      <c r="H669" s="4">
        <f t="shared" si="63"/>
        <v>9.7073675186714517E-2</v>
      </c>
      <c r="I669" s="4">
        <f t="shared" si="64"/>
        <v>-0.92365018241180064</v>
      </c>
    </row>
    <row r="670" spans="1:9" x14ac:dyDescent="0.25">
      <c r="A670" s="3">
        <v>41148</v>
      </c>
      <c r="B670" s="4" t="s">
        <v>0</v>
      </c>
      <c r="C670" s="4">
        <v>333.36104549999999</v>
      </c>
      <c r="D670" s="6">
        <f t="shared" si="60"/>
        <v>-1.3866196438587197E-2</v>
      </c>
      <c r="E670" s="4">
        <f t="shared" si="61"/>
        <v>3.2939938068368641E-3</v>
      </c>
      <c r="F670" s="6">
        <f t="shared" si="62"/>
        <v>-1.7160190245424062E-2</v>
      </c>
      <c r="G670" s="4">
        <f t="shared" si="65"/>
        <v>7.2964260512346276E-3</v>
      </c>
      <c r="H670" s="4">
        <f t="shared" si="63"/>
        <v>-2.351862422085452</v>
      </c>
      <c r="I670" s="4">
        <f t="shared" si="64"/>
        <v>-3.6845669594134973</v>
      </c>
    </row>
    <row r="671" spans="1:9" x14ac:dyDescent="0.25">
      <c r="A671" s="3">
        <v>41149</v>
      </c>
      <c r="B671" s="4" t="s">
        <v>0</v>
      </c>
      <c r="C671" s="4">
        <v>337.36108280000002</v>
      </c>
      <c r="D671" s="6">
        <f t="shared" si="60"/>
        <v>1.1999114335631129E-2</v>
      </c>
      <c r="E671" s="4">
        <f t="shared" si="61"/>
        <v>8.6151334835640758E-4</v>
      </c>
      <c r="F671" s="6">
        <f t="shared" si="62"/>
        <v>1.1137600987274721E-2</v>
      </c>
      <c r="G671" s="4">
        <f t="shared" si="65"/>
        <v>8.1051727838693632E-2</v>
      </c>
      <c r="H671" s="4">
        <f t="shared" si="63"/>
        <v>0.13741349239883438</v>
      </c>
      <c r="I671" s="4">
        <f t="shared" si="64"/>
        <v>-0.928379767151295</v>
      </c>
    </row>
    <row r="672" spans="1:9" x14ac:dyDescent="0.25">
      <c r="A672" s="3">
        <v>41150</v>
      </c>
      <c r="B672" s="4" t="s">
        <v>0</v>
      </c>
      <c r="C672" s="4">
        <v>342.72098560000001</v>
      </c>
      <c r="D672" s="6">
        <f t="shared" si="60"/>
        <v>1.5887732975938818E-2</v>
      </c>
      <c r="E672" s="4">
        <f t="shared" si="61"/>
        <v>-4.4724363528330733E-3</v>
      </c>
      <c r="F672" s="6">
        <f t="shared" si="62"/>
        <v>2.0360169328771889E-2</v>
      </c>
      <c r="G672" s="4">
        <f t="shared" si="65"/>
        <v>3.1692521632239685E-2</v>
      </c>
      <c r="H672" s="4">
        <f t="shared" si="63"/>
        <v>0.64242819063220913</v>
      </c>
      <c r="I672" s="4">
        <f t="shared" si="64"/>
        <v>-1.1252955232641597</v>
      </c>
    </row>
    <row r="673" spans="1:9" x14ac:dyDescent="0.25">
      <c r="A673" s="3">
        <v>41151</v>
      </c>
      <c r="B673" s="4" t="s">
        <v>0</v>
      </c>
      <c r="C673" s="4">
        <v>339.5678125</v>
      </c>
      <c r="D673" s="6">
        <f t="shared" si="60"/>
        <v>-9.2004085903282466E-3</v>
      </c>
      <c r="E673" s="4">
        <f t="shared" si="61"/>
        <v>3.4077645934807443E-4</v>
      </c>
      <c r="F673" s="6">
        <f t="shared" si="62"/>
        <v>-9.541185049676321E-3</v>
      </c>
      <c r="G673" s="4">
        <f t="shared" si="65"/>
        <v>2.566901584167295E-2</v>
      </c>
      <c r="H673" s="4">
        <f t="shared" si="63"/>
        <v>-0.37170046208731017</v>
      </c>
      <c r="I673" s="4">
        <f t="shared" si="64"/>
        <v>-0.98801914996263263</v>
      </c>
    </row>
    <row r="674" spans="1:9" x14ac:dyDescent="0.25">
      <c r="A674" s="3">
        <v>41152</v>
      </c>
      <c r="B674" s="4" t="s">
        <v>0</v>
      </c>
      <c r="C674" s="4">
        <v>341.26642370000002</v>
      </c>
      <c r="D674" s="6">
        <f t="shared" si="60"/>
        <v>5.0022738830701637E-3</v>
      </c>
      <c r="E674" s="4">
        <f t="shared" si="61"/>
        <v>9.7481214247190934E-3</v>
      </c>
      <c r="F674" s="6">
        <f t="shared" si="62"/>
        <v>-4.7458475416489298E-3</v>
      </c>
      <c r="G674" s="4">
        <f t="shared" si="65"/>
        <v>1.6854728359329302E-2</v>
      </c>
      <c r="H674" s="4">
        <f t="shared" si="63"/>
        <v>-0.28157365935963269</v>
      </c>
      <c r="I674" s="4">
        <f t="shared" si="64"/>
        <v>-0.95858039602725986</v>
      </c>
    </row>
    <row r="675" spans="1:9" x14ac:dyDescent="0.25">
      <c r="A675" s="3">
        <v>41156</v>
      </c>
      <c r="B675" s="4" t="s">
        <v>0</v>
      </c>
      <c r="C675" s="4">
        <v>339.24899499999998</v>
      </c>
      <c r="D675" s="6">
        <f t="shared" si="60"/>
        <v>-5.9115944607944122E-3</v>
      </c>
      <c r="E675" s="4">
        <f t="shared" si="61"/>
        <v>1.3486284216925664E-3</v>
      </c>
      <c r="F675" s="6">
        <f t="shared" si="62"/>
        <v>-7.2602228824869787E-3</v>
      </c>
      <c r="G675" s="4">
        <f t="shared" si="65"/>
        <v>1.2644397316391852E-2</v>
      </c>
      <c r="H675" s="4">
        <f t="shared" si="63"/>
        <v>-0.57418496910683303</v>
      </c>
      <c r="I675" s="4">
        <f t="shared" si="64"/>
        <v>-1.0837827225787802</v>
      </c>
    </row>
    <row r="676" spans="1:9" x14ac:dyDescent="0.25">
      <c r="A676" s="3">
        <v>41157</v>
      </c>
      <c r="B676" s="4" t="s">
        <v>0</v>
      </c>
      <c r="C676" s="4">
        <v>339.08960139999999</v>
      </c>
      <c r="D676" s="6">
        <f t="shared" si="60"/>
        <v>-4.6984251198735946E-4</v>
      </c>
      <c r="E676" s="4">
        <f t="shared" si="61"/>
        <v>-9.0549837161491638E-4</v>
      </c>
      <c r="F676" s="6">
        <f t="shared" si="62"/>
        <v>4.3565585962755692E-4</v>
      </c>
      <c r="G676" s="4">
        <f t="shared" si="65"/>
        <v>2.0921518408653209E-2</v>
      </c>
      <c r="H676" s="4">
        <f t="shared" si="63"/>
        <v>2.0823338493795376E-2</v>
      </c>
      <c r="I676" s="4">
        <f t="shared" si="64"/>
        <v>-0.91915533891768619</v>
      </c>
    </row>
    <row r="677" spans="1:9" x14ac:dyDescent="0.25">
      <c r="A677" s="3">
        <v>41158</v>
      </c>
      <c r="B677" s="4" t="s">
        <v>0</v>
      </c>
      <c r="C677" s="4">
        <v>348.39473199999998</v>
      </c>
      <c r="D677" s="6">
        <f t="shared" si="60"/>
        <v>2.7441509741324626E-2</v>
      </c>
      <c r="E677" s="4">
        <f t="shared" si="61"/>
        <v>-7.2793165755379963E-4</v>
      </c>
      <c r="F677" s="6">
        <f t="shared" si="62"/>
        <v>2.8169441398878427E-2</v>
      </c>
      <c r="G677" s="4">
        <f t="shared" si="65"/>
        <v>9.4383779680830959E-3</v>
      </c>
      <c r="H677" s="4">
        <f t="shared" si="63"/>
        <v>2.984563819560571</v>
      </c>
      <c r="I677" s="4">
        <f t="shared" si="64"/>
        <v>-5.3727491297196659</v>
      </c>
    </row>
    <row r="678" spans="1:9" x14ac:dyDescent="0.25">
      <c r="A678" s="3">
        <v>41159</v>
      </c>
      <c r="B678" s="4" t="s">
        <v>0</v>
      </c>
      <c r="C678" s="4">
        <v>351.75713389999999</v>
      </c>
      <c r="D678" s="6">
        <f t="shared" si="60"/>
        <v>9.6511272736466321E-3</v>
      </c>
      <c r="E678" s="4">
        <f t="shared" si="61"/>
        <v>-1.9895010744555748E-3</v>
      </c>
      <c r="F678" s="6">
        <f t="shared" si="62"/>
        <v>1.1640628348102207E-2</v>
      </c>
      <c r="G678" s="4">
        <f t="shared" si="65"/>
        <v>0.10278517931005239</v>
      </c>
      <c r="H678" s="4">
        <f t="shared" si="63"/>
        <v>0.11325201187797854</v>
      </c>
      <c r="I678" s="4">
        <f t="shared" si="64"/>
        <v>-0.92535154230187766</v>
      </c>
    </row>
    <row r="679" spans="1:9" x14ac:dyDescent="0.25">
      <c r="A679" s="3">
        <v>41162</v>
      </c>
      <c r="B679" s="4" t="s">
        <v>0</v>
      </c>
      <c r="C679" s="4">
        <v>349.0771671</v>
      </c>
      <c r="D679" s="6">
        <f t="shared" si="60"/>
        <v>-7.6187987157123821E-3</v>
      </c>
      <c r="E679" s="4">
        <f t="shared" si="61"/>
        <v>1.0346621578388414E-2</v>
      </c>
      <c r="F679" s="6">
        <f t="shared" si="62"/>
        <v>-1.7965420294100795E-2</v>
      </c>
      <c r="G679" s="4">
        <f t="shared" si="65"/>
        <v>3.9742728390177007E-2</v>
      </c>
      <c r="H679" s="4">
        <f t="shared" si="63"/>
        <v>-0.45204295280696455</v>
      </c>
      <c r="I679" s="4">
        <f t="shared" si="64"/>
        <v>-1.0211099487958923</v>
      </c>
    </row>
    <row r="680" spans="1:9" x14ac:dyDescent="0.25">
      <c r="A680" s="3">
        <v>41163</v>
      </c>
      <c r="B680" s="4" t="s">
        <v>0</v>
      </c>
      <c r="C680" s="4">
        <v>344.80317309999998</v>
      </c>
      <c r="D680" s="6">
        <f t="shared" si="60"/>
        <v>-1.2243693953135716E-2</v>
      </c>
      <c r="E680" s="4">
        <f t="shared" si="61"/>
        <v>1.2093296064645294E-2</v>
      </c>
      <c r="F680" s="6">
        <f t="shared" si="62"/>
        <v>-2.4336990017781009E-2</v>
      </c>
      <c r="G680" s="4">
        <f t="shared" si="65"/>
        <v>2.2281079271404405E-2</v>
      </c>
      <c r="H680" s="4">
        <f t="shared" si="63"/>
        <v>-1.0922715960629055</v>
      </c>
      <c r="I680" s="4">
        <f t="shared" si="64"/>
        <v>-1.5154671529875761</v>
      </c>
    </row>
    <row r="681" spans="1:9" x14ac:dyDescent="0.25">
      <c r="A681" s="3">
        <v>41164</v>
      </c>
      <c r="B681" s="4" t="s">
        <v>0</v>
      </c>
      <c r="C681" s="4">
        <v>344.15064489999997</v>
      </c>
      <c r="D681" s="6">
        <f t="shared" si="60"/>
        <v>-1.8924657628100179E-3</v>
      </c>
      <c r="E681" s="4">
        <f t="shared" si="61"/>
        <v>4.2925792270844063E-5</v>
      </c>
      <c r="F681" s="6">
        <f t="shared" si="62"/>
        <v>-1.935391555080862E-3</v>
      </c>
      <c r="G681" s="4">
        <f t="shared" si="65"/>
        <v>3.8821189613784918E-2</v>
      </c>
      <c r="H681" s="4">
        <f t="shared" si="63"/>
        <v>-4.9853999177645721E-2</v>
      </c>
      <c r="I681" s="4">
        <f t="shared" si="64"/>
        <v>-0.9201812438216751</v>
      </c>
    </row>
    <row r="682" spans="1:9" x14ac:dyDescent="0.25">
      <c r="A682" s="3">
        <v>41165</v>
      </c>
      <c r="B682" s="4" t="s">
        <v>0</v>
      </c>
      <c r="C682" s="4">
        <v>351.70232429999999</v>
      </c>
      <c r="D682" s="6">
        <f t="shared" si="60"/>
        <v>2.1942947113158272E-2</v>
      </c>
      <c r="E682" s="4">
        <f t="shared" si="61"/>
        <v>-7.0138215502202469E-3</v>
      </c>
      <c r="F682" s="6">
        <f t="shared" si="62"/>
        <v>2.895676866337852E-2</v>
      </c>
      <c r="G682" s="4">
        <f t="shared" si="65"/>
        <v>1.5727080967867877E-2</v>
      </c>
      <c r="H682" s="4">
        <f t="shared" si="63"/>
        <v>1.8412042719523301</v>
      </c>
      <c r="I682" s="4">
        <f t="shared" si="64"/>
        <v>-2.6139551187324277</v>
      </c>
    </row>
    <row r="683" spans="1:9" x14ac:dyDescent="0.25">
      <c r="A683" s="3">
        <v>41166</v>
      </c>
      <c r="B683" s="4" t="s">
        <v>0</v>
      </c>
      <c r="C683" s="4">
        <v>353.51555990000003</v>
      </c>
      <c r="D683" s="6">
        <f t="shared" si="60"/>
        <v>5.1555974320299409E-3</v>
      </c>
      <c r="E683" s="4">
        <f t="shared" si="61"/>
        <v>-4.4726698261042617E-3</v>
      </c>
      <c r="F683" s="6">
        <f t="shared" si="62"/>
        <v>9.6282672581342026E-3</v>
      </c>
      <c r="G683" s="4">
        <f t="shared" si="65"/>
        <v>6.3774368796504596E-2</v>
      </c>
      <c r="H683" s="4">
        <f t="shared" si="63"/>
        <v>0.15097393262890149</v>
      </c>
      <c r="I683" s="4">
        <f t="shared" si="64"/>
        <v>-0.93033509737139064</v>
      </c>
    </row>
    <row r="684" spans="1:9" x14ac:dyDescent="0.25">
      <c r="A684" s="3">
        <v>41169</v>
      </c>
      <c r="B684" s="4" t="s">
        <v>0</v>
      </c>
      <c r="C684" s="4">
        <v>353.66497390000001</v>
      </c>
      <c r="D684" s="6">
        <f t="shared" si="60"/>
        <v>4.2265183473746959E-4</v>
      </c>
      <c r="E684" s="4">
        <f t="shared" si="61"/>
        <v>7.8088639322730349E-3</v>
      </c>
      <c r="F684" s="6">
        <f t="shared" si="62"/>
        <v>-7.3862120975355652E-3</v>
      </c>
      <c r="G684" s="4">
        <f t="shared" si="65"/>
        <v>2.5385150368405898E-2</v>
      </c>
      <c r="H684" s="4">
        <f t="shared" si="63"/>
        <v>-0.29096585958097654</v>
      </c>
      <c r="I684" s="4">
        <f t="shared" si="64"/>
        <v>-0.96126909892552082</v>
      </c>
    </row>
    <row r="685" spans="1:9" x14ac:dyDescent="0.25">
      <c r="A685" s="3">
        <v>41170</v>
      </c>
      <c r="B685" s="4" t="s">
        <v>0</v>
      </c>
      <c r="C685" s="4">
        <v>357.79950259999998</v>
      </c>
      <c r="D685" s="6">
        <f t="shared" si="60"/>
        <v>1.1690523532502904E-2</v>
      </c>
      <c r="E685" s="4">
        <f t="shared" si="61"/>
        <v>8.6909622975858448E-3</v>
      </c>
      <c r="F685" s="6">
        <f t="shared" si="62"/>
        <v>2.9995612349170593E-3</v>
      </c>
      <c r="G685" s="4">
        <f t="shared" si="65"/>
        <v>1.4789981411426872E-2</v>
      </c>
      <c r="H685" s="4">
        <f t="shared" si="63"/>
        <v>0.20281034515699739</v>
      </c>
      <c r="I685" s="4">
        <f t="shared" si="64"/>
        <v>-0.93950455125602295</v>
      </c>
    </row>
    <row r="686" spans="1:9" x14ac:dyDescent="0.25">
      <c r="A686" s="3">
        <v>41171</v>
      </c>
      <c r="B686" s="4" t="s">
        <v>0</v>
      </c>
      <c r="C686" s="4">
        <v>362.39228379999997</v>
      </c>
      <c r="D686" s="6">
        <f t="shared" si="60"/>
        <v>1.2836186653770912E-2</v>
      </c>
      <c r="E686" s="4">
        <f t="shared" si="61"/>
        <v>1.7407179430159595E-3</v>
      </c>
      <c r="F686" s="6">
        <f t="shared" si="62"/>
        <v>1.1095468710754952E-2</v>
      </c>
      <c r="G686" s="4">
        <f t="shared" si="65"/>
        <v>1.0260203642160395E-2</v>
      </c>
      <c r="H686" s="4">
        <f t="shared" si="63"/>
        <v>1.0814082349362302</v>
      </c>
      <c r="I686" s="4">
        <f t="shared" si="64"/>
        <v>-1.5036604184986191</v>
      </c>
    </row>
    <row r="687" spans="1:9" x14ac:dyDescent="0.25">
      <c r="A687" s="3">
        <v>41172</v>
      </c>
      <c r="B687" s="4" t="s">
        <v>0</v>
      </c>
      <c r="C687" s="4">
        <v>362.70112260000002</v>
      </c>
      <c r="D687" s="6">
        <f t="shared" si="60"/>
        <v>8.5222233972975781E-4</v>
      </c>
      <c r="E687" s="4">
        <f t="shared" si="61"/>
        <v>4.5987389697242122E-3</v>
      </c>
      <c r="F687" s="6">
        <f t="shared" si="62"/>
        <v>-3.7465166299944543E-3</v>
      </c>
      <c r="G687" s="4">
        <f t="shared" si="65"/>
        <v>3.771173473816599E-2</v>
      </c>
      <c r="H687" s="4">
        <f t="shared" si="63"/>
        <v>-9.9346175825818187E-2</v>
      </c>
      <c r="I687" s="4">
        <f t="shared" si="64"/>
        <v>-0.92387336453027991</v>
      </c>
    </row>
    <row r="688" spans="1:9" x14ac:dyDescent="0.25">
      <c r="A688" s="3">
        <v>41173</v>
      </c>
      <c r="B688" s="4" t="s">
        <v>0</v>
      </c>
      <c r="C688" s="4">
        <v>365.62516909999999</v>
      </c>
      <c r="D688" s="6">
        <f t="shared" si="60"/>
        <v>8.0618622821984464E-3</v>
      </c>
      <c r="E688" s="4">
        <f t="shared" si="61"/>
        <v>8.4872731233077425E-3</v>
      </c>
      <c r="F688" s="6">
        <f t="shared" si="62"/>
        <v>-4.2541084110929613E-4</v>
      </c>
      <c r="G688" s="4">
        <f t="shared" si="65"/>
        <v>1.5610714158668527E-2</v>
      </c>
      <c r="H688" s="4">
        <f t="shared" si="63"/>
        <v>-2.7251209444064305E-2</v>
      </c>
      <c r="I688" s="4">
        <f t="shared" si="64"/>
        <v>-0.91930984741275479</v>
      </c>
    </row>
    <row r="689" spans="1:9" x14ac:dyDescent="0.25">
      <c r="A689" s="3">
        <v>41176</v>
      </c>
      <c r="B689" s="4" t="s">
        <v>0</v>
      </c>
      <c r="C689" s="4">
        <v>373.29144200000002</v>
      </c>
      <c r="D689" s="6">
        <f t="shared" si="60"/>
        <v>2.0967574302586556E-2</v>
      </c>
      <c r="E689" s="4">
        <f t="shared" si="61"/>
        <v>4.2570586852339375E-3</v>
      </c>
      <c r="F689" s="6">
        <f t="shared" si="62"/>
        <v>1.6710515617352619E-2</v>
      </c>
      <c r="G689" s="4">
        <f t="shared" si="65"/>
        <v>7.8214775500698632E-3</v>
      </c>
      <c r="H689" s="4">
        <f t="shared" si="63"/>
        <v>2.1364909009044406</v>
      </c>
      <c r="I689" s="4">
        <f t="shared" si="64"/>
        <v>-3.2012352180284069</v>
      </c>
    </row>
    <row r="690" spans="1:9" x14ac:dyDescent="0.25">
      <c r="A690" s="3">
        <v>41177</v>
      </c>
      <c r="B690" s="4" t="s">
        <v>0</v>
      </c>
      <c r="C690" s="4">
        <v>373.1818533</v>
      </c>
      <c r="D690" s="6">
        <f t="shared" si="60"/>
        <v>-2.9357410234981363E-4</v>
      </c>
      <c r="E690" s="4">
        <f t="shared" si="61"/>
        <v>3.3432967337220952E-3</v>
      </c>
      <c r="F690" s="6">
        <f t="shared" si="62"/>
        <v>-3.6368708360719087E-3</v>
      </c>
      <c r="G690" s="4">
        <f t="shared" si="65"/>
        <v>7.3675888146268201E-2</v>
      </c>
      <c r="H690" s="4">
        <f t="shared" si="63"/>
        <v>-4.9363108169821528E-2</v>
      </c>
      <c r="I690" s="4">
        <f t="shared" si="64"/>
        <v>-0.92015689142876533</v>
      </c>
    </row>
    <row r="691" spans="1:9" x14ac:dyDescent="0.25">
      <c r="A691" s="3">
        <v>41178</v>
      </c>
      <c r="B691" s="4" t="s">
        <v>0</v>
      </c>
      <c r="C691" s="4">
        <v>375.32385499999998</v>
      </c>
      <c r="D691" s="6">
        <f t="shared" si="60"/>
        <v>5.739833491523046E-3</v>
      </c>
      <c r="E691" s="4">
        <f t="shared" si="61"/>
        <v>1.0484425177538727E-2</v>
      </c>
      <c r="F691" s="6">
        <f t="shared" si="62"/>
        <v>-4.7445916860156812E-3</v>
      </c>
      <c r="G691" s="4">
        <f t="shared" si="65"/>
        <v>2.8612474985403067E-2</v>
      </c>
      <c r="H691" s="4">
        <f t="shared" si="63"/>
        <v>-0.16582248436866021</v>
      </c>
      <c r="I691" s="4">
        <f t="shared" si="64"/>
        <v>-0.93268708136576994</v>
      </c>
    </row>
    <row r="692" spans="1:9" x14ac:dyDescent="0.25">
      <c r="A692" s="3">
        <v>41179</v>
      </c>
      <c r="B692" s="4" t="s">
        <v>0</v>
      </c>
      <c r="C692" s="4">
        <v>376.83817049999999</v>
      </c>
      <c r="D692" s="6">
        <f t="shared" si="60"/>
        <v>4.0346902543671502E-3</v>
      </c>
      <c r="E692" s="4">
        <f t="shared" si="61"/>
        <v>6.3092535324421771E-3</v>
      </c>
      <c r="F692" s="6">
        <f t="shared" si="62"/>
        <v>-2.2745632780750268E-3</v>
      </c>
      <c r="G692" s="4">
        <f t="shared" si="65"/>
        <v>1.3288418252934255E-2</v>
      </c>
      <c r="H692" s="4">
        <f t="shared" si="63"/>
        <v>-0.17116885055697081</v>
      </c>
      <c r="I692" s="4">
        <f t="shared" si="64"/>
        <v>-0.93358792090516995</v>
      </c>
    </row>
    <row r="693" spans="1:9" x14ac:dyDescent="0.25">
      <c r="A693" s="3">
        <v>41180</v>
      </c>
      <c r="B693" s="4" t="s">
        <v>0</v>
      </c>
      <c r="C693" s="4">
        <v>375.84189179999998</v>
      </c>
      <c r="D693" s="6">
        <f t="shared" si="60"/>
        <v>-2.6437839316492619E-3</v>
      </c>
      <c r="E693" s="4">
        <f t="shared" si="61"/>
        <v>2.1043920301922971E-3</v>
      </c>
      <c r="F693" s="6">
        <f t="shared" si="62"/>
        <v>-4.748175961841559E-3</v>
      </c>
      <c r="G693" s="4">
        <f t="shared" si="65"/>
        <v>9.2273129196218349E-3</v>
      </c>
      <c r="H693" s="4">
        <f t="shared" si="63"/>
        <v>-0.51457840469944249</v>
      </c>
      <c r="I693" s="4">
        <f t="shared" si="64"/>
        <v>-1.0513340004961844</v>
      </c>
    </row>
    <row r="694" spans="1:9" x14ac:dyDescent="0.25">
      <c r="A694" s="3">
        <v>41183</v>
      </c>
      <c r="B694" s="4" t="s">
        <v>0</v>
      </c>
      <c r="C694" s="4">
        <v>379.46830210000002</v>
      </c>
      <c r="D694" s="6">
        <f t="shared" si="60"/>
        <v>9.6487655557294418E-3</v>
      </c>
      <c r="E694" s="4">
        <f t="shared" si="61"/>
        <v>3.3001620600942791E-3</v>
      </c>
      <c r="F694" s="6">
        <f t="shared" si="62"/>
        <v>6.3486034956351627E-3</v>
      </c>
      <c r="G694" s="4">
        <f t="shared" si="65"/>
        <v>1.8711577088601869E-2</v>
      </c>
      <c r="H694" s="4">
        <f t="shared" si="63"/>
        <v>0.3392874617448684</v>
      </c>
      <c r="I694" s="4">
        <f t="shared" si="64"/>
        <v>-0.97649652405331044</v>
      </c>
    </row>
    <row r="695" spans="1:9" x14ac:dyDescent="0.25">
      <c r="A695" s="3">
        <v>41184</v>
      </c>
      <c r="B695" s="4" t="s">
        <v>0</v>
      </c>
      <c r="C695" s="4">
        <v>377.08225069999997</v>
      </c>
      <c r="D695" s="6">
        <f t="shared" si="60"/>
        <v>-6.2878806656458328E-3</v>
      </c>
      <c r="E695" s="4">
        <f t="shared" si="61"/>
        <v>2.2516214041021199E-4</v>
      </c>
      <c r="F695" s="6">
        <f t="shared" si="62"/>
        <v>-6.513042806056045E-3</v>
      </c>
      <c r="G695" s="4">
        <f t="shared" si="65"/>
        <v>1.4555106172744787E-2</v>
      </c>
      <c r="H695" s="4">
        <f t="shared" si="63"/>
        <v>-0.44747477131098262</v>
      </c>
      <c r="I695" s="4">
        <f t="shared" si="64"/>
        <v>-1.0190553686845807</v>
      </c>
    </row>
    <row r="696" spans="1:9" x14ac:dyDescent="0.25">
      <c r="A696" s="3">
        <v>41185</v>
      </c>
      <c r="B696" s="4" t="s">
        <v>0</v>
      </c>
      <c r="C696" s="4">
        <v>379.82697569999999</v>
      </c>
      <c r="D696" s="6">
        <f t="shared" si="60"/>
        <v>7.278849627381883E-3</v>
      </c>
      <c r="E696" s="4">
        <f t="shared" si="61"/>
        <v>2.8787321078109405E-3</v>
      </c>
      <c r="F696" s="6">
        <f t="shared" si="62"/>
        <v>4.4001175195709421E-3</v>
      </c>
      <c r="G696" s="4">
        <f t="shared" si="65"/>
        <v>1.7096598565786561E-2</v>
      </c>
      <c r="H696" s="4">
        <f t="shared" si="63"/>
        <v>0.25736800818242211</v>
      </c>
      <c r="I696" s="4">
        <f t="shared" si="64"/>
        <v>-0.95205767902256633</v>
      </c>
    </row>
    <row r="697" spans="1:9" x14ac:dyDescent="0.25">
      <c r="A697" s="3">
        <v>41186</v>
      </c>
      <c r="B697" s="4" t="s">
        <v>0</v>
      </c>
      <c r="C697" s="4">
        <v>382.59159829999999</v>
      </c>
      <c r="D697" s="6">
        <f t="shared" si="60"/>
        <v>7.2786367921997899E-3</v>
      </c>
      <c r="E697" s="4">
        <f t="shared" si="61"/>
        <v>5.5137527489346064E-4</v>
      </c>
      <c r="F697" s="6">
        <f t="shared" si="62"/>
        <v>6.7272615173063297E-3</v>
      </c>
      <c r="G697" s="4">
        <f t="shared" si="65"/>
        <v>1.206898285141032E-2</v>
      </c>
      <c r="H697" s="4">
        <f t="shared" si="63"/>
        <v>0.55740086800439992</v>
      </c>
      <c r="I697" s="4">
        <f t="shared" si="64"/>
        <v>-1.0742863970307019</v>
      </c>
    </row>
    <row r="698" spans="1:9" x14ac:dyDescent="0.25">
      <c r="A698" s="3">
        <v>41187</v>
      </c>
      <c r="B698" s="4" t="s">
        <v>0</v>
      </c>
      <c r="C698" s="4">
        <v>382.39234859999999</v>
      </c>
      <c r="D698" s="6">
        <f t="shared" si="60"/>
        <v>-5.2078953350083478E-4</v>
      </c>
      <c r="E698" s="4">
        <f t="shared" si="61"/>
        <v>8.5702114812539294E-4</v>
      </c>
      <c r="F698" s="6">
        <f t="shared" si="62"/>
        <v>-1.3778106816262278E-3</v>
      </c>
      <c r="G698" s="4">
        <f t="shared" si="65"/>
        <v>2.0327128787600783E-2</v>
      </c>
      <c r="H698" s="4">
        <f t="shared" si="63"/>
        <v>-6.778186412960939E-2</v>
      </c>
      <c r="I698" s="4">
        <f t="shared" si="64"/>
        <v>-0.92123572375711515</v>
      </c>
    </row>
    <row r="699" spans="1:9" x14ac:dyDescent="0.25">
      <c r="A699" s="3">
        <v>41190</v>
      </c>
      <c r="B699" s="4" t="s">
        <v>0</v>
      </c>
      <c r="C699" s="4">
        <v>377.50565210000002</v>
      </c>
      <c r="D699" s="6">
        <f t="shared" si="60"/>
        <v>-1.2779273743031089E-2</v>
      </c>
      <c r="E699" s="4">
        <f t="shared" si="61"/>
        <v>5.011624959551356E-3</v>
      </c>
      <c r="F699" s="6">
        <f t="shared" si="62"/>
        <v>-1.7790898702582443E-2</v>
      </c>
      <c r="G699" s="4">
        <f t="shared" si="65"/>
        <v>9.509329930390881E-3</v>
      </c>
      <c r="H699" s="4">
        <f t="shared" si="63"/>
        <v>-1.8708887832069518</v>
      </c>
      <c r="I699" s="4">
        <f t="shared" si="64"/>
        <v>-2.6690509527694668</v>
      </c>
    </row>
    <row r="700" spans="1:9" x14ac:dyDescent="0.25">
      <c r="A700" s="3">
        <v>41191</v>
      </c>
      <c r="B700" s="4" t="s">
        <v>0</v>
      </c>
      <c r="C700" s="4">
        <v>370.65633609999998</v>
      </c>
      <c r="D700" s="6">
        <f t="shared" si="60"/>
        <v>-1.8143611789382383E-2</v>
      </c>
      <c r="E700" s="4">
        <f t="shared" si="61"/>
        <v>2.0297560163852267E-3</v>
      </c>
      <c r="F700" s="6">
        <f t="shared" si="62"/>
        <v>-2.017336780576761E-2</v>
      </c>
      <c r="G700" s="4">
        <f t="shared" si="65"/>
        <v>6.4610591757467944E-2</v>
      </c>
      <c r="H700" s="4">
        <f t="shared" si="63"/>
        <v>-0.31223004242854491</v>
      </c>
      <c r="I700" s="4">
        <f t="shared" si="64"/>
        <v>-0.96768233290213812</v>
      </c>
    </row>
    <row r="701" spans="1:9" x14ac:dyDescent="0.25">
      <c r="A701" s="3">
        <v>41192</v>
      </c>
      <c r="B701" s="4" t="s">
        <v>0</v>
      </c>
      <c r="C701" s="4">
        <v>370.89043709999999</v>
      </c>
      <c r="D701" s="6">
        <f t="shared" si="60"/>
        <v>6.3158504846616505E-4</v>
      </c>
      <c r="E701" s="4">
        <f t="shared" si="61"/>
        <v>-5.045106584532332E-3</v>
      </c>
      <c r="F701" s="6">
        <f t="shared" si="62"/>
        <v>5.6766916329984967E-3</v>
      </c>
      <c r="G701" s="4">
        <f t="shared" si="65"/>
        <v>2.7355519535074257E-2</v>
      </c>
      <c r="H701" s="4">
        <f t="shared" si="63"/>
        <v>0.20751540199117943</v>
      </c>
      <c r="I701" s="4">
        <f t="shared" si="64"/>
        <v>-0.94046985423645302</v>
      </c>
    </row>
    <row r="702" spans="1:9" x14ac:dyDescent="0.25">
      <c r="A702" s="3">
        <v>41193</v>
      </c>
      <c r="B702" s="4" t="s">
        <v>0</v>
      </c>
      <c r="C702" s="4">
        <v>374.33752559999999</v>
      </c>
      <c r="D702" s="6">
        <f t="shared" si="60"/>
        <v>9.2940883754050463E-3</v>
      </c>
      <c r="E702" s="4">
        <f t="shared" si="61"/>
        <v>-1.0849593933649775E-2</v>
      </c>
      <c r="F702" s="6">
        <f t="shared" si="62"/>
        <v>2.0143682309054819E-2</v>
      </c>
      <c r="G702" s="4">
        <f t="shared" si="65"/>
        <v>1.3591389275055571E-2</v>
      </c>
      <c r="H702" s="4">
        <f t="shared" si="63"/>
        <v>1.4820914846449689</v>
      </c>
      <c r="I702" s="4">
        <f t="shared" si="64"/>
        <v>-2.017236117633237</v>
      </c>
    </row>
    <row r="703" spans="1:9" x14ac:dyDescent="0.25">
      <c r="A703" s="3">
        <v>41194</v>
      </c>
      <c r="B703" s="4" t="s">
        <v>0</v>
      </c>
      <c r="C703" s="4">
        <v>370.98510279999999</v>
      </c>
      <c r="D703" s="6">
        <f t="shared" si="60"/>
        <v>-8.9556151086552984E-3</v>
      </c>
      <c r="E703" s="4">
        <f t="shared" si="61"/>
        <v>-5.3148935253912039E-3</v>
      </c>
      <c r="F703" s="6">
        <f t="shared" si="62"/>
        <v>-3.6407215832640945E-3</v>
      </c>
      <c r="G703" s="4">
        <f t="shared" si="65"/>
        <v>5.1455229979480648E-2</v>
      </c>
      <c r="H703" s="4">
        <f t="shared" si="63"/>
        <v>-7.0755131882919264E-2</v>
      </c>
      <c r="I703" s="4">
        <f t="shared" si="64"/>
        <v>-0.92144167754855744</v>
      </c>
    </row>
    <row r="704" spans="1:9" x14ac:dyDescent="0.25">
      <c r="A704" s="3">
        <v>41197</v>
      </c>
      <c r="B704" s="4" t="s">
        <v>0</v>
      </c>
      <c r="C704" s="4">
        <v>369.10713929999997</v>
      </c>
      <c r="D704" s="6">
        <f t="shared" si="60"/>
        <v>-5.0620994908586424E-3</v>
      </c>
      <c r="E704" s="4">
        <f t="shared" si="61"/>
        <v>3.746182033568237E-3</v>
      </c>
      <c r="F704" s="6">
        <f t="shared" si="62"/>
        <v>-8.8082815244268798E-3</v>
      </c>
      <c r="G704" s="4">
        <f t="shared" si="65"/>
        <v>2.0408975451640356E-2</v>
      </c>
      <c r="H704" s="4">
        <f t="shared" si="63"/>
        <v>-0.43158861870838894</v>
      </c>
      <c r="I704" s="4">
        <f t="shared" si="64"/>
        <v>-1.0120729011039802</v>
      </c>
    </row>
    <row r="705" spans="1:9" x14ac:dyDescent="0.25">
      <c r="A705" s="3">
        <v>41198</v>
      </c>
      <c r="B705" s="4" t="s">
        <v>0</v>
      </c>
      <c r="C705" s="4">
        <v>370.96020010000001</v>
      </c>
      <c r="D705" s="6">
        <f t="shared" si="60"/>
        <v>5.0203873149522607E-3</v>
      </c>
      <c r="E705" s="4">
        <f t="shared" si="61"/>
        <v>-5.7731165149187049E-4</v>
      </c>
      <c r="F705" s="6">
        <f t="shared" si="62"/>
        <v>5.5976989664441312E-3</v>
      </c>
      <c r="G705" s="4">
        <f t="shared" si="65"/>
        <v>1.7481874840834365E-2</v>
      </c>
      <c r="H705" s="4">
        <f t="shared" si="63"/>
        <v>0.32020015115134914</v>
      </c>
      <c r="I705" s="4">
        <f t="shared" si="64"/>
        <v>-0.97020260160334615</v>
      </c>
    </row>
    <row r="706" spans="1:9" x14ac:dyDescent="0.25">
      <c r="A706" s="3">
        <v>41199</v>
      </c>
      <c r="B706" s="4" t="s">
        <v>0</v>
      </c>
      <c r="C706" s="4">
        <v>376.33505680000002</v>
      </c>
      <c r="D706" s="6">
        <f t="shared" si="60"/>
        <v>1.4489038712376976E-2</v>
      </c>
      <c r="E706" s="4">
        <f t="shared" si="61"/>
        <v>-4.6777119603305774E-3</v>
      </c>
      <c r="F706" s="6">
        <f t="shared" si="62"/>
        <v>1.9166750672707553E-2</v>
      </c>
      <c r="G706" s="4">
        <f t="shared" si="65"/>
        <v>1.3801777135886168E-2</v>
      </c>
      <c r="H706" s="4">
        <f t="shared" si="63"/>
        <v>1.3887161402477548</v>
      </c>
      <c r="I706" s="4">
        <f t="shared" si="64"/>
        <v>-1.8832047922969835</v>
      </c>
    </row>
    <row r="707" spans="1:9" x14ac:dyDescent="0.25">
      <c r="A707" s="3">
        <v>41200</v>
      </c>
      <c r="B707" s="4" t="s">
        <v>0</v>
      </c>
      <c r="C707" s="4">
        <v>346.20295579999998</v>
      </c>
      <c r="D707" s="6">
        <f t="shared" si="60"/>
        <v>-8.006721791005901E-2</v>
      </c>
      <c r="E707" s="4">
        <f t="shared" si="61"/>
        <v>3.6920034862119775E-4</v>
      </c>
      <c r="F707" s="6">
        <f t="shared" si="62"/>
        <v>-8.0436418258680212E-2</v>
      </c>
      <c r="G707" s="4">
        <f t="shared" si="65"/>
        <v>4.8287515095075131E-2</v>
      </c>
      <c r="H707" s="4">
        <f t="shared" si="63"/>
        <v>-1.6657808566107797</v>
      </c>
      <c r="I707" s="4">
        <f t="shared" si="64"/>
        <v>-2.3063514643301444</v>
      </c>
    </row>
    <row r="708" spans="1:9" x14ac:dyDescent="0.25">
      <c r="A708" s="3">
        <v>41201</v>
      </c>
      <c r="B708" s="4" t="s">
        <v>0</v>
      </c>
      <c r="C708" s="4">
        <v>339.62259160000002</v>
      </c>
      <c r="D708" s="6">
        <f t="shared" ref="D708:D771" si="66">(C708-C707)/C707</f>
        <v>-1.900724442052832E-2</v>
      </c>
      <c r="E708" s="4">
        <f t="shared" si="61"/>
        <v>7.0747617425435082E-3</v>
      </c>
      <c r="F708" s="6">
        <f t="shared" si="62"/>
        <v>-2.6082006163071828E-2</v>
      </c>
      <c r="G708" s="4">
        <f t="shared" si="65"/>
        <v>6.0364363546889822E-2</v>
      </c>
      <c r="H708" s="4">
        <f t="shared" si="63"/>
        <v>-0.43207622230311182</v>
      </c>
      <c r="I708" s="4">
        <f t="shared" si="64"/>
        <v>-1.0122834641445366</v>
      </c>
    </row>
    <row r="709" spans="1:9" x14ac:dyDescent="0.25">
      <c r="A709" s="3">
        <v>41204</v>
      </c>
      <c r="B709" s="4" t="s">
        <v>0</v>
      </c>
      <c r="C709" s="4">
        <v>338.06842010000003</v>
      </c>
      <c r="D709" s="6">
        <f t="shared" si="66"/>
        <v>-4.5761723113828196E-3</v>
      </c>
      <c r="E709" s="4">
        <f t="shared" si="61"/>
        <v>-2.6171113377671792E-2</v>
      </c>
      <c r="F709" s="6">
        <f t="shared" si="62"/>
        <v>2.1594941066288974E-2</v>
      </c>
      <c r="G709" s="4">
        <f t="shared" si="65"/>
        <v>2.7864173301996028E-2</v>
      </c>
      <c r="H709" s="4">
        <f t="shared" si="63"/>
        <v>0.77500742018217483</v>
      </c>
      <c r="I709" s="4">
        <f t="shared" si="64"/>
        <v>-1.2192567838733877</v>
      </c>
    </row>
    <row r="710" spans="1:9" x14ac:dyDescent="0.25">
      <c r="A710" s="3">
        <v>41205</v>
      </c>
      <c r="B710" s="4" t="s">
        <v>0</v>
      </c>
      <c r="C710" s="4">
        <v>338.90527479999997</v>
      </c>
      <c r="D710" s="6">
        <f t="shared" si="66"/>
        <v>2.4754003930695643E-3</v>
      </c>
      <c r="E710" s="4">
        <f t="shared" si="61"/>
        <v>-3.1786928646052572E-2</v>
      </c>
      <c r="F710" s="6">
        <f t="shared" si="62"/>
        <v>3.4262329039122137E-2</v>
      </c>
      <c r="G710" s="4">
        <f t="shared" si="65"/>
        <v>2.9116312156129698E-2</v>
      </c>
      <c r="H710" s="4">
        <f t="shared" si="63"/>
        <v>1.1767399956216322</v>
      </c>
      <c r="I710" s="4">
        <f t="shared" si="64"/>
        <v>-1.6112970418524721</v>
      </c>
    </row>
    <row r="711" spans="1:9" x14ac:dyDescent="0.25">
      <c r="A711" s="3">
        <v>41206</v>
      </c>
      <c r="B711" s="4" t="s">
        <v>0</v>
      </c>
      <c r="C711" s="4">
        <v>337.38598500000001</v>
      </c>
      <c r="D711" s="6">
        <f t="shared" si="66"/>
        <v>-4.4829334712968225E-3</v>
      </c>
      <c r="E711" s="4">
        <f t="shared" ref="E711:E774" si="67">+$M$16*D710+$M$17*D709+$M$18*D708</f>
        <v>-7.5703367108277955E-3</v>
      </c>
      <c r="F711" s="6">
        <f t="shared" ref="F711:F774" si="68">D711-E711</f>
        <v>3.087403239530973E-3</v>
      </c>
      <c r="G711" s="4">
        <f t="shared" si="65"/>
        <v>4.2246691255408295E-2</v>
      </c>
      <c r="H711" s="4">
        <f t="shared" ref="H711:H774" si="69">F711/G711</f>
        <v>7.3080356065416907E-2</v>
      </c>
      <c r="I711" s="4">
        <f t="shared" ref="I711:I774" si="70">LN(_xlfn.NORM.DIST(H711,0,1,FALSE))</f>
        <v>-0.9216089024259968</v>
      </c>
    </row>
    <row r="712" spans="1:9" x14ac:dyDescent="0.25">
      <c r="A712" s="3">
        <v>41207</v>
      </c>
      <c r="B712" s="4" t="s">
        <v>0</v>
      </c>
      <c r="C712" s="4">
        <v>337.6151112</v>
      </c>
      <c r="D712" s="6">
        <f t="shared" si="66"/>
        <v>6.7912186690266953E-4</v>
      </c>
      <c r="E712" s="4">
        <f t="shared" si="67"/>
        <v>-4.5525842815230869E-4</v>
      </c>
      <c r="F712" s="6">
        <f t="shared" si="68"/>
        <v>1.1343802950549782E-3</v>
      </c>
      <c r="G712" s="4">
        <f t="shared" ref="G712:G775" si="71">SQRT($M$12 + $M$13 *H711^2+$M$14*G711^2)</f>
        <v>1.7064076170081939E-2</v>
      </c>
      <c r="H712" s="4">
        <f t="shared" si="69"/>
        <v>6.647768585584854E-2</v>
      </c>
      <c r="I712" s="4">
        <f t="shared" si="70"/>
        <v>-0.9211481745630471</v>
      </c>
    </row>
    <row r="713" spans="1:9" x14ac:dyDescent="0.25">
      <c r="A713" s="3">
        <v>41208</v>
      </c>
      <c r="B713" s="4" t="s">
        <v>0</v>
      </c>
      <c r="C713" s="4">
        <v>336.31499930000001</v>
      </c>
      <c r="D713" s="6">
        <f t="shared" si="66"/>
        <v>-3.8508699903240301E-3</v>
      </c>
      <c r="E713" s="4">
        <f t="shared" si="67"/>
        <v>-9.5562186943991051E-4</v>
      </c>
      <c r="F713" s="6">
        <f t="shared" si="68"/>
        <v>-2.8952481208841196E-3</v>
      </c>
      <c r="G713" s="4">
        <f t="shared" si="71"/>
        <v>8.5112133017618535E-3</v>
      </c>
      <c r="H713" s="4">
        <f t="shared" si="69"/>
        <v>-0.3401686714025593</v>
      </c>
      <c r="I713" s="4">
        <f t="shared" si="70"/>
        <v>-0.97679589570656389</v>
      </c>
    </row>
    <row r="714" spans="1:9" x14ac:dyDescent="0.25">
      <c r="A714" s="3">
        <v>41213</v>
      </c>
      <c r="B714" s="4" t="s">
        <v>0</v>
      </c>
      <c r="C714" s="4">
        <v>338.88037220000001</v>
      </c>
      <c r="D714" s="6">
        <f t="shared" si="66"/>
        <v>7.6278872644381631E-3</v>
      </c>
      <c r="E714" s="4">
        <f t="shared" si="67"/>
        <v>-1.1133711346472423E-3</v>
      </c>
      <c r="F714" s="6">
        <f t="shared" si="68"/>
        <v>8.7412583990854054E-3</v>
      </c>
      <c r="G714" s="4">
        <f t="shared" si="71"/>
        <v>1.3118452873525711E-2</v>
      </c>
      <c r="H714" s="4">
        <f t="shared" si="69"/>
        <v>0.66633302595659727</v>
      </c>
      <c r="I714" s="4">
        <f t="shared" si="70"/>
        <v>-1.1409383839449103</v>
      </c>
    </row>
    <row r="715" spans="1:9" x14ac:dyDescent="0.25">
      <c r="A715" s="3">
        <v>41214</v>
      </c>
      <c r="B715" s="4" t="s">
        <v>0</v>
      </c>
      <c r="C715" s="4">
        <v>342.5117568</v>
      </c>
      <c r="D715" s="6">
        <f t="shared" si="66"/>
        <v>1.0715830416571969E-2</v>
      </c>
      <c r="E715" s="4">
        <f t="shared" si="67"/>
        <v>-1.2639724326501871E-3</v>
      </c>
      <c r="F715" s="6">
        <f t="shared" si="68"/>
        <v>1.1979802849222156E-2</v>
      </c>
      <c r="G715" s="4">
        <f t="shared" si="71"/>
        <v>2.397045615530842E-2</v>
      </c>
      <c r="H715" s="4">
        <f t="shared" si="69"/>
        <v>0.49977367020481783</v>
      </c>
      <c r="I715" s="4">
        <f t="shared" si="70"/>
        <v>-1.0438253939196696</v>
      </c>
    </row>
    <row r="716" spans="1:9" x14ac:dyDescent="0.25">
      <c r="A716" s="3">
        <v>41215</v>
      </c>
      <c r="B716" s="4" t="s">
        <v>0</v>
      </c>
      <c r="C716" s="4">
        <v>342.67615510000002</v>
      </c>
      <c r="D716" s="6">
        <f t="shared" si="66"/>
        <v>4.7997856054912566E-4</v>
      </c>
      <c r="E716" s="4">
        <f t="shared" si="67"/>
        <v>1.7368596374348036E-3</v>
      </c>
      <c r="F716" s="6">
        <f t="shared" si="68"/>
        <v>-1.256881076885678E-3</v>
      </c>
      <c r="G716" s="4">
        <f t="shared" si="71"/>
        <v>2.0092255006151399E-2</v>
      </c>
      <c r="H716" s="4">
        <f t="shared" si="69"/>
        <v>-6.2555500938091521E-2</v>
      </c>
      <c r="I716" s="4">
        <f t="shared" si="70"/>
        <v>-0.92089512855348055</v>
      </c>
    </row>
    <row r="717" spans="1:9" x14ac:dyDescent="0.25">
      <c r="A717" s="3">
        <v>41218</v>
      </c>
      <c r="B717" s="4" t="s">
        <v>0</v>
      </c>
      <c r="C717" s="4">
        <v>340.20541759999998</v>
      </c>
      <c r="D717" s="6">
        <f t="shared" si="66"/>
        <v>-7.2101237953922665E-3</v>
      </c>
      <c r="E717" s="4">
        <f t="shared" si="67"/>
        <v>6.4325062116605079E-3</v>
      </c>
      <c r="F717" s="6">
        <f t="shared" si="68"/>
        <v>-1.3642630007052774E-2</v>
      </c>
      <c r="G717" s="4">
        <f t="shared" si="71"/>
        <v>9.3935564990695417E-3</v>
      </c>
      <c r="H717" s="4">
        <f t="shared" si="69"/>
        <v>-1.4523391655124569</v>
      </c>
      <c r="I717" s="4">
        <f t="shared" si="70"/>
        <v>-1.9735830590453824</v>
      </c>
    </row>
    <row r="718" spans="1:9" x14ac:dyDescent="0.25">
      <c r="A718" s="3">
        <v>41219</v>
      </c>
      <c r="B718" s="4" t="s">
        <v>0</v>
      </c>
      <c r="C718" s="4">
        <v>339.58774030000001</v>
      </c>
      <c r="D718" s="6">
        <f t="shared" si="66"/>
        <v>-1.8156010105818154E-3</v>
      </c>
      <c r="E718" s="4">
        <f t="shared" si="67"/>
        <v>3.4650883947284785E-3</v>
      </c>
      <c r="F718" s="6">
        <f t="shared" si="68"/>
        <v>-5.2806894053102939E-3</v>
      </c>
      <c r="G718" s="4">
        <f t="shared" si="71"/>
        <v>5.0303100249796714E-2</v>
      </c>
      <c r="H718" s="4">
        <f t="shared" si="69"/>
        <v>-0.10497741449507646</v>
      </c>
      <c r="I718" s="4">
        <f t="shared" si="70"/>
        <v>-0.92444866198170816</v>
      </c>
    </row>
    <row r="719" spans="1:9" x14ac:dyDescent="0.25">
      <c r="A719" s="3">
        <v>41220</v>
      </c>
      <c r="B719" s="4" t="s">
        <v>0</v>
      </c>
      <c r="C719" s="4">
        <v>332.31496190000001</v>
      </c>
      <c r="D719" s="6">
        <f t="shared" si="66"/>
        <v>-2.1416492814419756E-2</v>
      </c>
      <c r="E719" s="4">
        <f t="shared" si="67"/>
        <v>-2.6093222968675321E-3</v>
      </c>
      <c r="F719" s="6">
        <f t="shared" si="68"/>
        <v>-1.8807170517552225E-2</v>
      </c>
      <c r="G719" s="4">
        <f t="shared" si="71"/>
        <v>2.0163063113645751E-2</v>
      </c>
      <c r="H719" s="4">
        <f t="shared" si="69"/>
        <v>-0.93275364023555041</v>
      </c>
      <c r="I719" s="4">
        <f t="shared" si="70"/>
        <v>-1.3539532098910081</v>
      </c>
    </row>
    <row r="720" spans="1:9" x14ac:dyDescent="0.25">
      <c r="A720" s="3">
        <v>41221</v>
      </c>
      <c r="B720" s="4" t="s">
        <v>0</v>
      </c>
      <c r="C720" s="4">
        <v>324.9276509</v>
      </c>
      <c r="D720" s="6">
        <f t="shared" si="66"/>
        <v>-2.222984772567356E-2</v>
      </c>
      <c r="E720" s="4">
        <f t="shared" si="67"/>
        <v>-2.9026112279686564E-3</v>
      </c>
      <c r="F720" s="6">
        <f t="shared" si="68"/>
        <v>-1.9327236497704903E-2</v>
      </c>
      <c r="G720" s="4">
        <f t="shared" si="71"/>
        <v>3.3350116376949901E-2</v>
      </c>
      <c r="H720" s="4">
        <f t="shared" si="69"/>
        <v>-0.57952530897502408</v>
      </c>
      <c r="I720" s="4">
        <f t="shared" si="70"/>
        <v>-1.0868633250759712</v>
      </c>
    </row>
    <row r="721" spans="1:9" x14ac:dyDescent="0.25">
      <c r="A721" s="3">
        <v>41222</v>
      </c>
      <c r="B721" s="4" t="s">
        <v>0</v>
      </c>
      <c r="C721" s="4">
        <v>330.27760499999999</v>
      </c>
      <c r="D721" s="6">
        <f t="shared" si="66"/>
        <v>1.6465062561408467E-2</v>
      </c>
      <c r="E721" s="4">
        <f t="shared" si="67"/>
        <v>-8.7435565344936798E-3</v>
      </c>
      <c r="F721" s="6">
        <f t="shared" si="68"/>
        <v>2.5208619095902149E-2</v>
      </c>
      <c r="G721" s="4">
        <f t="shared" si="71"/>
        <v>2.4161356417170064E-2</v>
      </c>
      <c r="H721" s="4">
        <f t="shared" si="69"/>
        <v>1.0433445316831573</v>
      </c>
      <c r="I721" s="4">
        <f t="shared" si="70"/>
        <v>-1.4632224391012463</v>
      </c>
    </row>
    <row r="722" spans="1:9" x14ac:dyDescent="0.25">
      <c r="A722" s="3">
        <v>41225</v>
      </c>
      <c r="B722" s="4" t="s">
        <v>0</v>
      </c>
      <c r="C722" s="4">
        <v>331.7072642</v>
      </c>
      <c r="D722" s="6">
        <f t="shared" si="66"/>
        <v>4.3286592198705188E-3</v>
      </c>
      <c r="E722" s="4">
        <f t="shared" si="67"/>
        <v>-1.5056527784170968E-2</v>
      </c>
      <c r="F722" s="6">
        <f t="shared" si="68"/>
        <v>1.9385187004041488E-2</v>
      </c>
      <c r="G722" s="4">
        <f t="shared" si="71"/>
        <v>3.7367424860287192E-2</v>
      </c>
      <c r="H722" s="4">
        <f t="shared" si="69"/>
        <v>0.51877235524044352</v>
      </c>
      <c r="I722" s="4">
        <f t="shared" si="70"/>
        <v>-1.0535009114855312</v>
      </c>
    </row>
    <row r="723" spans="1:9" x14ac:dyDescent="0.25">
      <c r="A723" s="3">
        <v>41226</v>
      </c>
      <c r="B723" s="4" t="s">
        <v>0</v>
      </c>
      <c r="C723" s="4">
        <v>328.29502710000003</v>
      </c>
      <c r="D723" s="6">
        <f t="shared" si="66"/>
        <v>-1.0286892897053325E-2</v>
      </c>
      <c r="E723" s="4">
        <f t="shared" si="67"/>
        <v>-5.1360223995756005E-4</v>
      </c>
      <c r="F723" s="6">
        <f t="shared" si="68"/>
        <v>-9.7732906570957637E-3</v>
      </c>
      <c r="G723" s="4">
        <f t="shared" si="71"/>
        <v>2.3373382473310805E-2</v>
      </c>
      <c r="H723" s="4">
        <f t="shared" si="69"/>
        <v>-0.41813762591937731</v>
      </c>
      <c r="I723" s="4">
        <f t="shared" si="70"/>
        <v>-1.0063580703094193</v>
      </c>
    </row>
    <row r="724" spans="1:9" x14ac:dyDescent="0.25">
      <c r="A724" s="3">
        <v>41227</v>
      </c>
      <c r="B724" s="4" t="s">
        <v>0</v>
      </c>
      <c r="C724" s="4">
        <v>325.05716740000003</v>
      </c>
      <c r="D724" s="6">
        <f t="shared" si="66"/>
        <v>-9.8626522874918111E-3</v>
      </c>
      <c r="E724" s="4">
        <f t="shared" si="67"/>
        <v>6.6970125510382814E-3</v>
      </c>
      <c r="F724" s="6">
        <f t="shared" si="68"/>
        <v>-1.6559664838530094E-2</v>
      </c>
      <c r="G724" s="4">
        <f t="shared" si="71"/>
        <v>1.7635806484616847E-2</v>
      </c>
      <c r="H724" s="4">
        <f t="shared" si="69"/>
        <v>-0.93897973154641745</v>
      </c>
      <c r="I724" s="4">
        <f t="shared" si="70"/>
        <v>-1.3597800013321639</v>
      </c>
    </row>
    <row r="725" spans="1:9" x14ac:dyDescent="0.25">
      <c r="A725" s="3">
        <v>41228</v>
      </c>
      <c r="B725" s="4" t="s">
        <v>0</v>
      </c>
      <c r="C725" s="4">
        <v>322.42203110000003</v>
      </c>
      <c r="D725" s="6">
        <f t="shared" si="66"/>
        <v>-8.1066857287823615E-3</v>
      </c>
      <c r="E725" s="4">
        <f t="shared" si="67"/>
        <v>-2.6070011570850701E-3</v>
      </c>
      <c r="F725" s="6">
        <f t="shared" si="68"/>
        <v>-5.4996845716972914E-3</v>
      </c>
      <c r="G725" s="4">
        <f t="shared" si="71"/>
        <v>3.3347891264092384E-2</v>
      </c>
      <c r="H725" s="4">
        <f t="shared" si="69"/>
        <v>-0.16491851098300545</v>
      </c>
      <c r="I725" s="4">
        <f t="shared" si="70"/>
        <v>-0.93253759083709853</v>
      </c>
    </row>
    <row r="726" spans="1:9" x14ac:dyDescent="0.25">
      <c r="A726" s="3">
        <v>41229</v>
      </c>
      <c r="B726" s="4" t="s">
        <v>0</v>
      </c>
      <c r="C726" s="4">
        <v>322.38217500000002</v>
      </c>
      <c r="D726" s="6">
        <f t="shared" si="66"/>
        <v>-1.2361469178775547E-4</v>
      </c>
      <c r="E726" s="4">
        <f t="shared" si="67"/>
        <v>-6.9208328365742994E-3</v>
      </c>
      <c r="F726" s="6">
        <f t="shared" si="68"/>
        <v>6.7972181447865437E-3</v>
      </c>
      <c r="G726" s="4">
        <f t="shared" si="71"/>
        <v>1.4798150050342991E-2</v>
      </c>
      <c r="H726" s="4">
        <f t="shared" si="69"/>
        <v>0.45932891082078181</v>
      </c>
      <c r="I726" s="4">
        <f t="shared" si="70"/>
        <v>-1.0244300573625755</v>
      </c>
    </row>
    <row r="727" spans="1:9" x14ac:dyDescent="0.25">
      <c r="A727" s="3">
        <v>41232</v>
      </c>
      <c r="B727" s="4" t="s">
        <v>0</v>
      </c>
      <c r="C727" s="4">
        <v>332.85793180000002</v>
      </c>
      <c r="D727" s="6">
        <f t="shared" si="66"/>
        <v>3.2494838773266539E-2</v>
      </c>
      <c r="E727" s="4">
        <f t="shared" si="67"/>
        <v>-6.1194790273660779E-3</v>
      </c>
      <c r="F727" s="6">
        <f t="shared" si="68"/>
        <v>3.8614317800632618E-2</v>
      </c>
      <c r="G727" s="4">
        <f t="shared" si="71"/>
        <v>1.749391057763159E-2</v>
      </c>
      <c r="H727" s="4">
        <f t="shared" si="69"/>
        <v>2.2073005134716088</v>
      </c>
      <c r="I727" s="4">
        <f t="shared" si="70"/>
        <v>-3.3550263115906866</v>
      </c>
    </row>
    <row r="728" spans="1:9" x14ac:dyDescent="0.25">
      <c r="A728" s="3">
        <v>41233</v>
      </c>
      <c r="B728" s="4" t="s">
        <v>0</v>
      </c>
      <c r="C728" s="4">
        <v>333.73464209999997</v>
      </c>
      <c r="D728" s="6">
        <f t="shared" si="66"/>
        <v>2.6338873622718233E-3</v>
      </c>
      <c r="E728" s="4">
        <f t="shared" si="67"/>
        <v>-2.5292958637163168E-3</v>
      </c>
      <c r="F728" s="6">
        <f t="shared" si="68"/>
        <v>5.1631832259881397E-3</v>
      </c>
      <c r="G728" s="4">
        <f t="shared" si="71"/>
        <v>7.6336879690596965E-2</v>
      </c>
      <c r="H728" s="4">
        <f t="shared" si="69"/>
        <v>6.7636812598512994E-2</v>
      </c>
      <c r="I728" s="4">
        <f t="shared" si="70"/>
        <v>-0.92122590241391589</v>
      </c>
    </row>
    <row r="729" spans="1:9" x14ac:dyDescent="0.25">
      <c r="A729" s="3">
        <v>41234</v>
      </c>
      <c r="B729" s="4" t="s">
        <v>0</v>
      </c>
      <c r="C729" s="4">
        <v>331.69231079999997</v>
      </c>
      <c r="D729" s="6">
        <f t="shared" si="66"/>
        <v>-6.1196263209260674E-3</v>
      </c>
      <c r="E729" s="4">
        <f t="shared" si="67"/>
        <v>1.2384296935109262E-2</v>
      </c>
      <c r="F729" s="6">
        <f t="shared" si="68"/>
        <v>-1.850392325603533E-2</v>
      </c>
      <c r="G729" s="4">
        <f t="shared" si="71"/>
        <v>2.9654187296607796E-2</v>
      </c>
      <c r="H729" s="4">
        <f t="shared" si="69"/>
        <v>-0.62399023351929905</v>
      </c>
      <c r="I729" s="4">
        <f t="shared" si="70"/>
        <v>-1.1136204389684075</v>
      </c>
    </row>
    <row r="730" spans="1:9" x14ac:dyDescent="0.25">
      <c r="A730" s="3">
        <v>41236</v>
      </c>
      <c r="B730" s="4" t="s">
        <v>0</v>
      </c>
      <c r="C730" s="4">
        <v>332.73839379999998</v>
      </c>
      <c r="D730" s="6">
        <f t="shared" si="66"/>
        <v>3.1537752487448079E-3</v>
      </c>
      <c r="E730" s="4">
        <f t="shared" si="67"/>
        <v>1.0958374262580827E-2</v>
      </c>
      <c r="F730" s="6">
        <f t="shared" si="68"/>
        <v>-7.8045990138360189E-3</v>
      </c>
      <c r="G730" s="4">
        <f t="shared" si="71"/>
        <v>2.4760474775650413E-2</v>
      </c>
      <c r="H730" s="4">
        <f t="shared" si="69"/>
        <v>-0.31520393225703025</v>
      </c>
      <c r="I730" s="4">
        <f t="shared" si="70"/>
        <v>-0.96861529265981983</v>
      </c>
    </row>
    <row r="731" spans="1:9" x14ac:dyDescent="0.25">
      <c r="A731" s="3">
        <v>41239</v>
      </c>
      <c r="B731" s="4" t="s">
        <v>0</v>
      </c>
      <c r="C731" s="4">
        <v>329.3411102</v>
      </c>
      <c r="D731" s="6">
        <f t="shared" si="66"/>
        <v>-1.0210073929857325E-2</v>
      </c>
      <c r="E731" s="4">
        <f t="shared" si="67"/>
        <v>-1.5327090524948003E-3</v>
      </c>
      <c r="F731" s="6">
        <f t="shared" si="68"/>
        <v>-8.6773648773625246E-3</v>
      </c>
      <c r="G731" s="4">
        <f t="shared" si="71"/>
        <v>1.5216512528772656E-2</v>
      </c>
      <c r="H731" s="4">
        <f t="shared" si="69"/>
        <v>-0.57025976622137542</v>
      </c>
      <c r="I731" s="4">
        <f t="shared" si="70"/>
        <v>-1.0815366336901013</v>
      </c>
    </row>
    <row r="732" spans="1:9" x14ac:dyDescent="0.25">
      <c r="A732" s="3">
        <v>41240</v>
      </c>
      <c r="B732" s="4" t="s">
        <v>0</v>
      </c>
      <c r="C732" s="4">
        <v>334.1032644</v>
      </c>
      <c r="D732" s="6">
        <f t="shared" si="66"/>
        <v>1.4459640939171152E-2</v>
      </c>
      <c r="E732" s="4">
        <f t="shared" si="67"/>
        <v>-6.6873056768768026E-4</v>
      </c>
      <c r="F732" s="6">
        <f t="shared" si="68"/>
        <v>1.5128371506858833E-2</v>
      </c>
      <c r="G732" s="4">
        <f t="shared" si="71"/>
        <v>2.1043855460569045E-2</v>
      </c>
      <c r="H732" s="4">
        <f t="shared" si="69"/>
        <v>0.71889733015918311</v>
      </c>
      <c r="I732" s="4">
        <f t="shared" si="70"/>
        <v>-1.1773452188596734</v>
      </c>
    </row>
    <row r="733" spans="1:9" x14ac:dyDescent="0.25">
      <c r="A733" s="3">
        <v>41241</v>
      </c>
      <c r="B733" s="4" t="s">
        <v>0</v>
      </c>
      <c r="C733" s="4">
        <v>340.55908590000001</v>
      </c>
      <c r="D733" s="6">
        <f t="shared" si="66"/>
        <v>1.932283275230403E-2</v>
      </c>
      <c r="E733" s="4">
        <f t="shared" si="67"/>
        <v>-2.9369592283175617E-3</v>
      </c>
      <c r="F733" s="6">
        <f t="shared" si="68"/>
        <v>2.2259791980621592E-2</v>
      </c>
      <c r="G733" s="4">
        <f t="shared" si="71"/>
        <v>2.6459188516228114E-2</v>
      </c>
      <c r="H733" s="4">
        <f t="shared" si="69"/>
        <v>0.84128778049897779</v>
      </c>
      <c r="I733" s="4">
        <f t="shared" si="70"/>
        <v>-1.2728210980131209</v>
      </c>
    </row>
    <row r="734" spans="1:9" x14ac:dyDescent="0.25">
      <c r="A734" s="3">
        <v>41242</v>
      </c>
      <c r="B734" s="4" t="s">
        <v>0</v>
      </c>
      <c r="C734" s="4">
        <v>344.6537586</v>
      </c>
      <c r="D734" s="6">
        <f t="shared" si="66"/>
        <v>1.2023384104344019E-2</v>
      </c>
      <c r="E734" s="4">
        <f t="shared" si="67"/>
        <v>2.4011489518538662E-3</v>
      </c>
      <c r="F734" s="6">
        <f t="shared" si="68"/>
        <v>9.6222351524901523E-3</v>
      </c>
      <c r="G734" s="4">
        <f t="shared" si="71"/>
        <v>3.1036141701332554E-2</v>
      </c>
      <c r="H734" s="4">
        <f t="shared" si="69"/>
        <v>0.3100332265874729</v>
      </c>
      <c r="I734" s="4">
        <f t="shared" si="70"/>
        <v>-0.96699883399879227</v>
      </c>
    </row>
    <row r="735" spans="1:9" x14ac:dyDescent="0.25">
      <c r="A735" s="3">
        <v>41243</v>
      </c>
      <c r="B735" s="4" t="s">
        <v>0</v>
      </c>
      <c r="C735" s="4">
        <v>347.8816392</v>
      </c>
      <c r="D735" s="6">
        <f t="shared" si="66"/>
        <v>9.3655749268825514E-3</v>
      </c>
      <c r="E735" s="4">
        <f t="shared" si="67"/>
        <v>1.1815254872428581E-2</v>
      </c>
      <c r="F735" s="6">
        <f t="shared" si="68"/>
        <v>-2.4496799455460301E-3</v>
      </c>
      <c r="G735" s="4">
        <f t="shared" si="71"/>
        <v>1.6695758432933916E-2</v>
      </c>
      <c r="H735" s="4">
        <f t="shared" si="69"/>
        <v>-0.1467246879131775</v>
      </c>
      <c r="I735" s="4">
        <f t="shared" si="70"/>
        <v>-0.92970260022628237</v>
      </c>
    </row>
    <row r="736" spans="1:9" x14ac:dyDescent="0.25">
      <c r="A736" s="3">
        <v>41246</v>
      </c>
      <c r="B736" s="4" t="s">
        <v>0</v>
      </c>
      <c r="C736" s="4">
        <v>346.32746759999998</v>
      </c>
      <c r="D736" s="6">
        <f t="shared" si="66"/>
        <v>-4.4675298287487715E-3</v>
      </c>
      <c r="E736" s="4">
        <f t="shared" si="67"/>
        <v>1.0514137451371076E-2</v>
      </c>
      <c r="F736" s="6">
        <f t="shared" si="68"/>
        <v>-1.4981667280119848E-2</v>
      </c>
      <c r="G736" s="4">
        <f t="shared" si="71"/>
        <v>9.5314223225921521E-3</v>
      </c>
      <c r="H736" s="4">
        <f t="shared" si="69"/>
        <v>-1.5718186408138775</v>
      </c>
      <c r="I736" s="4">
        <f t="shared" si="70"/>
        <v>-2.1542454530096653</v>
      </c>
    </row>
    <row r="737" spans="1:9" x14ac:dyDescent="0.25">
      <c r="A737" s="3">
        <v>41247</v>
      </c>
      <c r="B737" s="4" t="s">
        <v>0</v>
      </c>
      <c r="C737" s="4">
        <v>344.22535240000002</v>
      </c>
      <c r="D737" s="6">
        <f t="shared" si="66"/>
        <v>-6.0697328299349641E-3</v>
      </c>
      <c r="E737" s="4">
        <f t="shared" si="67"/>
        <v>7.2623632797597613E-3</v>
      </c>
      <c r="F737" s="6">
        <f t="shared" si="68"/>
        <v>-1.3332096109694725E-2</v>
      </c>
      <c r="G737" s="4">
        <f t="shared" si="71"/>
        <v>5.438562033205397E-2</v>
      </c>
      <c r="H737" s="4">
        <f t="shared" si="69"/>
        <v>-0.24514009453776539</v>
      </c>
      <c r="I737" s="4">
        <f t="shared" si="70"/>
        <v>-0.948985366179665</v>
      </c>
    </row>
    <row r="738" spans="1:9" x14ac:dyDescent="0.25">
      <c r="A738" s="3">
        <v>41248</v>
      </c>
      <c r="B738" s="4" t="s">
        <v>0</v>
      </c>
      <c r="C738" s="4">
        <v>342.62635030000001</v>
      </c>
      <c r="D738" s="6">
        <f t="shared" si="66"/>
        <v>-4.6452188627347799E-3</v>
      </c>
      <c r="E738" s="4">
        <f t="shared" si="67"/>
        <v>1.16026283782881E-3</v>
      </c>
      <c r="F738" s="6">
        <f t="shared" si="68"/>
        <v>-5.8054817005635901E-3</v>
      </c>
      <c r="G738" s="4">
        <f t="shared" si="71"/>
        <v>2.2952679014802101E-2</v>
      </c>
      <c r="H738" s="4">
        <f t="shared" si="69"/>
        <v>-0.25293264009920829</v>
      </c>
      <c r="I738" s="4">
        <f t="shared" si="70"/>
        <v>-0.95092599341845041</v>
      </c>
    </row>
    <row r="739" spans="1:9" x14ac:dyDescent="0.25">
      <c r="A739" s="3">
        <v>41249</v>
      </c>
      <c r="B739" s="4" t="s">
        <v>0</v>
      </c>
      <c r="C739" s="4">
        <v>344.27515720000002</v>
      </c>
      <c r="D739" s="6">
        <f t="shared" si="66"/>
        <v>4.8122594732026101E-3</v>
      </c>
      <c r="E739" s="4">
        <f t="shared" si="67"/>
        <v>-3.6886165127423126E-3</v>
      </c>
      <c r="F739" s="6">
        <f t="shared" si="68"/>
        <v>8.5008759859449227E-3</v>
      </c>
      <c r="G739" s="4">
        <f t="shared" si="71"/>
        <v>1.3310234338937237E-2</v>
      </c>
      <c r="H739" s="4">
        <f t="shared" si="69"/>
        <v>0.63867215027738422</v>
      </c>
      <c r="I739" s="4">
        <f t="shared" si="70"/>
        <v>-1.1228895909746415</v>
      </c>
    </row>
    <row r="740" spans="1:9" x14ac:dyDescent="0.25">
      <c r="A740" s="3">
        <v>41250</v>
      </c>
      <c r="B740" s="4" t="s">
        <v>0</v>
      </c>
      <c r="C740" s="4">
        <v>340.82806870000002</v>
      </c>
      <c r="D740" s="6">
        <f t="shared" si="66"/>
        <v>-1.0012597272586493E-2</v>
      </c>
      <c r="E740" s="4">
        <f t="shared" si="67"/>
        <v>-3.6345434909414412E-3</v>
      </c>
      <c r="F740" s="6">
        <f t="shared" si="68"/>
        <v>-6.3780537816450524E-3</v>
      </c>
      <c r="G740" s="4">
        <f t="shared" si="71"/>
        <v>2.3079455159890509E-2</v>
      </c>
      <c r="H740" s="4">
        <f t="shared" si="69"/>
        <v>-0.2763520082020563</v>
      </c>
      <c r="I740" s="4">
        <f t="shared" si="70"/>
        <v>-0.95712374942332734</v>
      </c>
    </row>
    <row r="741" spans="1:9" x14ac:dyDescent="0.25">
      <c r="A741" s="3">
        <v>41253</v>
      </c>
      <c r="B741" s="4" t="s">
        <v>0</v>
      </c>
      <c r="C741" s="4">
        <v>341.43082249999998</v>
      </c>
      <c r="D741" s="6">
        <f t="shared" si="66"/>
        <v>1.7684981236991632E-3</v>
      </c>
      <c r="E741" s="4">
        <f t="shared" si="67"/>
        <v>4.168179786049617E-4</v>
      </c>
      <c r="F741" s="6">
        <f t="shared" si="68"/>
        <v>1.3516801450942015E-3</v>
      </c>
      <c r="G741" s="4">
        <f t="shared" si="71"/>
        <v>1.3880265268343987E-2</v>
      </c>
      <c r="H741" s="4">
        <f t="shared" si="69"/>
        <v>9.7381434645698706E-2</v>
      </c>
      <c r="I741" s="4">
        <f t="shared" si="70"/>
        <v>-0.92368010511149989</v>
      </c>
    </row>
    <row r="742" spans="1:9" x14ac:dyDescent="0.25">
      <c r="A742" s="3">
        <v>41254</v>
      </c>
      <c r="B742" s="4" t="s">
        <v>0</v>
      </c>
      <c r="C742" s="4">
        <v>347.13941970000002</v>
      </c>
      <c r="D742" s="6">
        <f t="shared" si="66"/>
        <v>1.6719630519005185E-2</v>
      </c>
      <c r="E742" s="4">
        <f t="shared" si="67"/>
        <v>-2.3538073684777525E-3</v>
      </c>
      <c r="F742" s="6">
        <f t="shared" si="68"/>
        <v>1.9073437887482936E-2</v>
      </c>
      <c r="G742" s="4">
        <f t="shared" si="71"/>
        <v>8.0042730226977665E-3</v>
      </c>
      <c r="H742" s="4">
        <f t="shared" si="69"/>
        <v>2.3829069589950604</v>
      </c>
      <c r="I742" s="4">
        <f t="shared" si="70"/>
        <v>-3.7580613208182161</v>
      </c>
    </row>
    <row r="743" spans="1:9" x14ac:dyDescent="0.25">
      <c r="A743" s="3">
        <v>41255</v>
      </c>
      <c r="B743" s="4" t="s">
        <v>0</v>
      </c>
      <c r="C743" s="4">
        <v>347.47816549999999</v>
      </c>
      <c r="D743" s="6">
        <f t="shared" si="66"/>
        <v>9.7582060917401957E-4</v>
      </c>
      <c r="E743" s="4">
        <f t="shared" si="67"/>
        <v>-2.3899855904981537E-3</v>
      </c>
      <c r="F743" s="6">
        <f t="shared" si="68"/>
        <v>3.3658061996721732E-3</v>
      </c>
      <c r="G743" s="4">
        <f t="shared" si="71"/>
        <v>8.2125952723855228E-2</v>
      </c>
      <c r="H743" s="4">
        <f t="shared" si="69"/>
        <v>4.0983466103456274E-2</v>
      </c>
      <c r="I743" s="4">
        <f t="shared" si="70"/>
        <v>-0.91977835545159936</v>
      </c>
    </row>
    <row r="744" spans="1:9" x14ac:dyDescent="0.25">
      <c r="A744" s="3">
        <v>41256</v>
      </c>
      <c r="B744" s="4" t="s">
        <v>0</v>
      </c>
      <c r="C744" s="4">
        <v>350.03856400000001</v>
      </c>
      <c r="D744" s="6">
        <f t="shared" si="66"/>
        <v>7.3685162240791774E-3</v>
      </c>
      <c r="E744" s="4">
        <f t="shared" si="67"/>
        <v>6.9331932460121879E-3</v>
      </c>
      <c r="F744" s="6">
        <f t="shared" si="68"/>
        <v>4.3532297806698952E-4</v>
      </c>
      <c r="G744" s="4">
        <f t="shared" si="71"/>
        <v>3.1774667152325027E-2</v>
      </c>
      <c r="H744" s="4">
        <f t="shared" si="69"/>
        <v>1.3700315914564535E-2</v>
      </c>
      <c r="I744" s="4">
        <f t="shared" si="70"/>
        <v>-0.9190323825327521</v>
      </c>
    </row>
    <row r="745" spans="1:9" x14ac:dyDescent="0.25">
      <c r="A745" s="3">
        <v>41257</v>
      </c>
      <c r="B745" s="4" t="s">
        <v>0</v>
      </c>
      <c r="C745" s="4">
        <v>349.66994169999998</v>
      </c>
      <c r="D745" s="6">
        <f t="shared" si="66"/>
        <v>-1.0530905389042416E-3</v>
      </c>
      <c r="E745" s="4">
        <f t="shared" si="67"/>
        <v>5.4936071422899795E-3</v>
      </c>
      <c r="F745" s="6">
        <f t="shared" si="68"/>
        <v>-6.5466976811942214E-3</v>
      </c>
      <c r="G745" s="4">
        <f t="shared" si="71"/>
        <v>1.3120007493305356E-2</v>
      </c>
      <c r="H745" s="4">
        <f t="shared" si="69"/>
        <v>-0.4989858187607556</v>
      </c>
      <c r="I745" s="4">
        <f t="shared" si="70"/>
        <v>-1.0434319568668435</v>
      </c>
    </row>
    <row r="746" spans="1:9" x14ac:dyDescent="0.25">
      <c r="A746" s="3">
        <v>41260</v>
      </c>
      <c r="B746" s="4" t="s">
        <v>0</v>
      </c>
      <c r="C746" s="4">
        <v>359.04483579999999</v>
      </c>
      <c r="D746" s="6">
        <f t="shared" si="66"/>
        <v>2.6810694835311909E-2</v>
      </c>
      <c r="E746" s="4">
        <f t="shared" si="67"/>
        <v>3.1156567724207255E-3</v>
      </c>
      <c r="F746" s="6">
        <f t="shared" si="68"/>
        <v>2.3695038062891183E-2</v>
      </c>
      <c r="G746" s="4">
        <f t="shared" si="71"/>
        <v>1.8550540222212645E-2</v>
      </c>
      <c r="H746" s="4">
        <f t="shared" si="69"/>
        <v>1.2773233436360227</v>
      </c>
      <c r="I746" s="4">
        <f t="shared" si="70"/>
        <v>-1.7347159953034272</v>
      </c>
    </row>
    <row r="747" spans="1:9" x14ac:dyDescent="0.25">
      <c r="A747" s="3">
        <v>41261</v>
      </c>
      <c r="B747" s="4" t="s">
        <v>0</v>
      </c>
      <c r="C747" s="4">
        <v>359.18927539999999</v>
      </c>
      <c r="D747" s="6">
        <f t="shared" si="66"/>
        <v>4.0228847653014574E-4</v>
      </c>
      <c r="E747" s="4">
        <f t="shared" si="67"/>
        <v>1.8545859844603732E-3</v>
      </c>
      <c r="F747" s="6">
        <f t="shared" si="68"/>
        <v>-1.4522975079302274E-3</v>
      </c>
      <c r="G747" s="4">
        <f t="shared" si="71"/>
        <v>4.4756050629235274E-2</v>
      </c>
      <c r="H747" s="4">
        <f t="shared" si="69"/>
        <v>-3.2449188154719942E-2</v>
      </c>
      <c r="I747" s="4">
        <f t="shared" si="70"/>
        <v>-0.91946500811062293</v>
      </c>
    </row>
    <row r="748" spans="1:9" x14ac:dyDescent="0.25">
      <c r="A748" s="3">
        <v>41262</v>
      </c>
      <c r="B748" s="4" t="s">
        <v>0</v>
      </c>
      <c r="C748" s="4">
        <v>358.71109480000001</v>
      </c>
      <c r="D748" s="6">
        <f t="shared" si="66"/>
        <v>-1.3312774983814935E-3</v>
      </c>
      <c r="E748" s="4">
        <f t="shared" si="67"/>
        <v>9.9266681733812465E-3</v>
      </c>
      <c r="F748" s="6">
        <f t="shared" si="68"/>
        <v>-1.1257945671762739E-2</v>
      </c>
      <c r="G748" s="4">
        <f t="shared" si="71"/>
        <v>1.7830590425314392E-2</v>
      </c>
      <c r="H748" s="4">
        <f t="shared" si="69"/>
        <v>-0.63138378501362713</v>
      </c>
      <c r="I748" s="4">
        <f t="shared" si="70"/>
        <v>-1.1182612751937397</v>
      </c>
    </row>
    <row r="749" spans="1:9" x14ac:dyDescent="0.25">
      <c r="A749" s="3">
        <v>41263</v>
      </c>
      <c r="B749" s="4" t="s">
        <v>0</v>
      </c>
      <c r="C749" s="4">
        <v>359.83188530000001</v>
      </c>
      <c r="D749" s="6">
        <f t="shared" si="66"/>
        <v>3.124493544379766E-3</v>
      </c>
      <c r="E749" s="4">
        <f t="shared" si="67"/>
        <v>8.3645945000237251E-3</v>
      </c>
      <c r="F749" s="6">
        <f t="shared" si="68"/>
        <v>-5.2401009556439591E-3</v>
      </c>
      <c r="G749" s="4">
        <f t="shared" si="71"/>
        <v>2.3285938756412036E-2</v>
      </c>
      <c r="H749" s="4">
        <f t="shared" si="69"/>
        <v>-0.22503284108316399</v>
      </c>
      <c r="I749" s="4">
        <f t="shared" si="70"/>
        <v>-0.94425842298765295</v>
      </c>
    </row>
    <row r="750" spans="1:9" x14ac:dyDescent="0.25">
      <c r="A750" s="3">
        <v>41264</v>
      </c>
      <c r="B750" s="4" t="s">
        <v>0</v>
      </c>
      <c r="C750" s="4">
        <v>356.4794321</v>
      </c>
      <c r="D750" s="6">
        <f t="shared" si="66"/>
        <v>-9.3167207714374648E-3</v>
      </c>
      <c r="E750" s="4">
        <f t="shared" si="67"/>
        <v>-3.8565549382206591E-4</v>
      </c>
      <c r="F750" s="6">
        <f t="shared" si="68"/>
        <v>-8.9310652776153996E-3</v>
      </c>
      <c r="G750" s="4">
        <f t="shared" si="71"/>
        <v>1.2792513249991059E-2</v>
      </c>
      <c r="H750" s="4">
        <f t="shared" si="69"/>
        <v>-0.69814782311221302</v>
      </c>
      <c r="I750" s="4">
        <f t="shared" si="70"/>
        <v>-1.1626437246628336</v>
      </c>
    </row>
    <row r="751" spans="1:9" x14ac:dyDescent="0.25">
      <c r="A751" s="3">
        <v>41267</v>
      </c>
      <c r="B751" s="4" t="s">
        <v>0</v>
      </c>
      <c r="C751" s="4">
        <v>353.4258686</v>
      </c>
      <c r="D751" s="6">
        <f t="shared" si="66"/>
        <v>-8.5658897120981913E-3</v>
      </c>
      <c r="E751" s="4">
        <f t="shared" si="67"/>
        <v>7.8653593179564552E-4</v>
      </c>
      <c r="F751" s="6">
        <f t="shared" si="68"/>
        <v>-9.3524256438938368E-3</v>
      </c>
      <c r="G751" s="4">
        <f t="shared" si="71"/>
        <v>2.499309525360437E-2</v>
      </c>
      <c r="H751" s="4">
        <f t="shared" si="69"/>
        <v>-0.37420037610367929</v>
      </c>
      <c r="I751" s="4">
        <f t="shared" si="70"/>
        <v>-0.98895149394274018</v>
      </c>
    </row>
    <row r="752" spans="1:9" x14ac:dyDescent="0.25">
      <c r="A752" s="3">
        <v>41269</v>
      </c>
      <c r="B752" s="4" t="s">
        <v>0</v>
      </c>
      <c r="C752" s="4">
        <v>353.11205580000001</v>
      </c>
      <c r="D752" s="6">
        <f t="shared" si="66"/>
        <v>-8.8791689539613342E-4</v>
      </c>
      <c r="E752" s="4">
        <f t="shared" si="67"/>
        <v>-2.6048769827881285E-3</v>
      </c>
      <c r="F752" s="6">
        <f t="shared" si="68"/>
        <v>1.7169600873919951E-3</v>
      </c>
      <c r="G752" s="4">
        <f t="shared" si="71"/>
        <v>1.6771865039161518E-2</v>
      </c>
      <c r="H752" s="4">
        <f t="shared" si="69"/>
        <v>0.10237144666874995</v>
      </c>
      <c r="I752" s="4">
        <f t="shared" si="70"/>
        <v>-0.92417848975119898</v>
      </c>
    </row>
    <row r="753" spans="1:9" x14ac:dyDescent="0.25">
      <c r="A753" s="3">
        <v>41270</v>
      </c>
      <c r="B753" s="4" t="s">
        <v>0</v>
      </c>
      <c r="C753" s="4">
        <v>351.82686649999999</v>
      </c>
      <c r="D753" s="6">
        <f t="shared" si="66"/>
        <v>-3.639607537863093E-3</v>
      </c>
      <c r="E753" s="4">
        <f t="shared" si="67"/>
        <v>-6.1278457183423941E-3</v>
      </c>
      <c r="F753" s="6">
        <f t="shared" si="68"/>
        <v>2.488238180479301E-3</v>
      </c>
      <c r="G753" s="4">
        <f t="shared" si="71"/>
        <v>8.8409501235191968E-3</v>
      </c>
      <c r="H753" s="4">
        <f t="shared" si="69"/>
        <v>0.28144465761207599</v>
      </c>
      <c r="I753" s="4">
        <f t="shared" si="70"/>
        <v>-0.95854408085386211</v>
      </c>
    </row>
    <row r="754" spans="1:9" x14ac:dyDescent="0.25">
      <c r="A754" s="3">
        <v>41271</v>
      </c>
      <c r="B754" s="4" t="s">
        <v>0</v>
      </c>
      <c r="C754" s="4">
        <v>348.69859609999997</v>
      </c>
      <c r="D754" s="6">
        <f t="shared" si="66"/>
        <v>-8.8915051630942439E-3</v>
      </c>
      <c r="E754" s="4">
        <f t="shared" si="67"/>
        <v>-2.962827641512364E-3</v>
      </c>
      <c r="F754" s="6">
        <f t="shared" si="68"/>
        <v>-5.9286775215818804E-3</v>
      </c>
      <c r="G754" s="4">
        <f t="shared" si="71"/>
        <v>1.1392436079333931E-2</v>
      </c>
      <c r="H754" s="4">
        <f t="shared" si="69"/>
        <v>-0.52040472119361725</v>
      </c>
      <c r="I754" s="4">
        <f t="shared" si="70"/>
        <v>-1.054349070124976</v>
      </c>
    </row>
    <row r="755" spans="1:9" x14ac:dyDescent="0.25">
      <c r="A755" s="3">
        <v>41274</v>
      </c>
      <c r="B755" s="4" t="s">
        <v>0</v>
      </c>
      <c r="C755" s="4">
        <v>352.36983629999997</v>
      </c>
      <c r="D755" s="6">
        <f t="shared" si="66"/>
        <v>1.0528405451185583E-2</v>
      </c>
      <c r="E755" s="4">
        <f t="shared" si="67"/>
        <v>-1.6634506652902161E-3</v>
      </c>
      <c r="F755" s="6">
        <f t="shared" si="68"/>
        <v>1.2191856116475799E-2</v>
      </c>
      <c r="G755" s="4">
        <f t="shared" si="71"/>
        <v>1.9072369217212455E-2</v>
      </c>
      <c r="H755" s="4">
        <f t="shared" si="69"/>
        <v>0.63924182557628328</v>
      </c>
      <c r="I755" s="4">
        <f t="shared" si="70"/>
        <v>-1.1232535889877224</v>
      </c>
    </row>
    <row r="756" spans="1:9" x14ac:dyDescent="0.25">
      <c r="A756" s="3">
        <v>41276</v>
      </c>
      <c r="B756" s="4" t="s">
        <v>0</v>
      </c>
      <c r="C756" s="4">
        <v>360.275215</v>
      </c>
      <c r="D756" s="6">
        <f t="shared" si="66"/>
        <v>2.2434890520168026E-2</v>
      </c>
      <c r="E756" s="4">
        <f t="shared" si="67"/>
        <v>-4.5134649237671999E-3</v>
      </c>
      <c r="F756" s="6">
        <f t="shared" si="68"/>
        <v>2.6948355443935226E-2</v>
      </c>
      <c r="G756" s="4">
        <f t="shared" si="71"/>
        <v>2.3679370983532295E-2</v>
      </c>
      <c r="H756" s="4">
        <f t="shared" si="69"/>
        <v>1.1380519973556869</v>
      </c>
      <c r="I756" s="4">
        <f t="shared" si="70"/>
        <v>-1.566519707547307</v>
      </c>
    </row>
    <row r="757" spans="1:9" x14ac:dyDescent="0.25">
      <c r="A757" s="3">
        <v>41277</v>
      </c>
      <c r="B757" s="4" t="s">
        <v>0</v>
      </c>
      <c r="C757" s="4">
        <v>360.48444380000001</v>
      </c>
      <c r="D757" s="6">
        <f t="shared" si="66"/>
        <v>5.8074713799006496E-4</v>
      </c>
      <c r="E757" s="4">
        <f t="shared" si="67"/>
        <v>1.3021961700623152E-3</v>
      </c>
      <c r="F757" s="6">
        <f t="shared" si="68"/>
        <v>-7.2144903207225022E-4</v>
      </c>
      <c r="G757" s="4">
        <f t="shared" si="71"/>
        <v>4.046131074175776E-2</v>
      </c>
      <c r="H757" s="4">
        <f t="shared" si="69"/>
        <v>-1.7830589737363223E-2</v>
      </c>
      <c r="I757" s="4">
        <f t="shared" si="70"/>
        <v>-0.91909749816986375</v>
      </c>
    </row>
    <row r="758" spans="1:9" x14ac:dyDescent="0.25">
      <c r="A758" s="3">
        <v>41278</v>
      </c>
      <c r="B758" s="4" t="s">
        <v>0</v>
      </c>
      <c r="C758" s="4">
        <v>367.6077469</v>
      </c>
      <c r="D758" s="6">
        <f t="shared" si="66"/>
        <v>1.9760361986527385E-2</v>
      </c>
      <c r="E758" s="4">
        <f t="shared" si="67"/>
        <v>1.1800751460949241E-2</v>
      </c>
      <c r="F758" s="6">
        <f t="shared" si="68"/>
        <v>7.9596105255781441E-3</v>
      </c>
      <c r="G758" s="4">
        <f t="shared" si="71"/>
        <v>1.6239717117619772E-2</v>
      </c>
      <c r="H758" s="4">
        <f t="shared" si="69"/>
        <v>0.49013233838550818</v>
      </c>
      <c r="I758" s="4">
        <f t="shared" si="70"/>
        <v>-1.0390533877702959</v>
      </c>
    </row>
    <row r="759" spans="1:9" x14ac:dyDescent="0.25">
      <c r="A759" s="3">
        <v>41281</v>
      </c>
      <c r="B759" s="4" t="s">
        <v>0</v>
      </c>
      <c r="C759" s="4">
        <v>366.00377099999997</v>
      </c>
      <c r="D759" s="6">
        <f t="shared" si="66"/>
        <v>-4.3632810067964949E-3</v>
      </c>
      <c r="E759" s="4">
        <f t="shared" si="67"/>
        <v>7.0931376218423695E-3</v>
      </c>
      <c r="F759" s="6">
        <f t="shared" si="68"/>
        <v>-1.1456418628638864E-2</v>
      </c>
      <c r="G759" s="4">
        <f t="shared" si="71"/>
        <v>1.8631176780716577E-2</v>
      </c>
      <c r="H759" s="4">
        <f t="shared" si="69"/>
        <v>-0.61490579814026314</v>
      </c>
      <c r="I759" s="4">
        <f t="shared" si="70"/>
        <v>-1.1079931034979296</v>
      </c>
    </row>
    <row r="760" spans="1:9" x14ac:dyDescent="0.25">
      <c r="A760" s="3">
        <v>41282</v>
      </c>
      <c r="B760" s="4" t="s">
        <v>0</v>
      </c>
      <c r="C760" s="4">
        <v>365.28144900000001</v>
      </c>
      <c r="D760" s="6">
        <f t="shared" si="66"/>
        <v>-1.9735370431469214E-3</v>
      </c>
      <c r="E760" s="4">
        <f t="shared" si="67"/>
        <v>7.7317435415777151E-3</v>
      </c>
      <c r="F760" s="6">
        <f t="shared" si="68"/>
        <v>-9.7052805847246369E-3</v>
      </c>
      <c r="G760" s="4">
        <f t="shared" si="71"/>
        <v>2.2852109007503535E-2</v>
      </c>
      <c r="H760" s="4">
        <f t="shared" si="69"/>
        <v>-0.42469955755671779</v>
      </c>
      <c r="I760" s="4">
        <f t="shared" si="70"/>
        <v>-1.0091233902991088</v>
      </c>
    </row>
    <row r="761" spans="1:9" x14ac:dyDescent="0.25">
      <c r="A761" s="3">
        <v>41283</v>
      </c>
      <c r="B761" s="4" t="s">
        <v>0</v>
      </c>
      <c r="C761" s="4">
        <v>367.68245439999998</v>
      </c>
      <c r="D761" s="6">
        <f t="shared" si="66"/>
        <v>6.5730285689924919E-3</v>
      </c>
      <c r="E761" s="4">
        <f t="shared" si="67"/>
        <v>4.3836234519279167E-3</v>
      </c>
      <c r="F761" s="6">
        <f t="shared" si="68"/>
        <v>2.1894051170645752E-3</v>
      </c>
      <c r="G761" s="4">
        <f t="shared" si="71"/>
        <v>1.7721354456059199E-2</v>
      </c>
      <c r="H761" s="4">
        <f t="shared" si="69"/>
        <v>0.12354615006958368</v>
      </c>
      <c r="I761" s="4">
        <f t="shared" si="70"/>
        <v>-0.92657035880318073</v>
      </c>
    </row>
    <row r="762" spans="1:9" x14ac:dyDescent="0.25">
      <c r="A762" s="3">
        <v>41284</v>
      </c>
      <c r="B762" s="4" t="s">
        <v>0</v>
      </c>
      <c r="C762" s="4">
        <v>369.35619380000003</v>
      </c>
      <c r="D762" s="6">
        <f t="shared" si="66"/>
        <v>4.552132906998037E-3</v>
      </c>
      <c r="E762" s="4">
        <f t="shared" si="67"/>
        <v>-2.0905751949543607E-3</v>
      </c>
      <c r="F762" s="6">
        <f t="shared" si="68"/>
        <v>6.6427081019523977E-3</v>
      </c>
      <c r="G762" s="4">
        <f t="shared" si="71"/>
        <v>9.4121416143437969E-3</v>
      </c>
      <c r="H762" s="4">
        <f t="shared" si="69"/>
        <v>0.70575947261876371</v>
      </c>
      <c r="I762" s="4">
        <f t="shared" si="70"/>
        <v>-1.1679867498002303</v>
      </c>
    </row>
    <row r="763" spans="1:9" x14ac:dyDescent="0.25">
      <c r="A763" s="3">
        <v>41285</v>
      </c>
      <c r="B763" s="4" t="s">
        <v>0</v>
      </c>
      <c r="C763" s="4">
        <v>368.6139743</v>
      </c>
      <c r="D763" s="6">
        <f t="shared" si="66"/>
        <v>-2.0094952039762786E-3</v>
      </c>
      <c r="E763" s="4">
        <f t="shared" si="67"/>
        <v>1.9084231742179261E-3</v>
      </c>
      <c r="F763" s="6">
        <f t="shared" si="68"/>
        <v>-3.9179183781942045E-3</v>
      </c>
      <c r="G763" s="4">
        <f t="shared" si="71"/>
        <v>2.5026896807249017E-2</v>
      </c>
      <c r="H763" s="4">
        <f t="shared" si="69"/>
        <v>-0.15654830913992435</v>
      </c>
      <c r="I763" s="4">
        <f t="shared" si="70"/>
        <v>-0.93119221975195732</v>
      </c>
    </row>
    <row r="764" spans="1:9" x14ac:dyDescent="0.25">
      <c r="A764" s="3">
        <v>41288</v>
      </c>
      <c r="B764" s="4" t="s">
        <v>0</v>
      </c>
      <c r="C764" s="4">
        <v>360.275215</v>
      </c>
      <c r="D764" s="6">
        <f t="shared" si="66"/>
        <v>-2.2621929393304589E-2</v>
      </c>
      <c r="E764" s="4">
        <f t="shared" si="67"/>
        <v>3.7531501537640573E-3</v>
      </c>
      <c r="F764" s="6">
        <f t="shared" si="68"/>
        <v>-2.6375079547068647E-2</v>
      </c>
      <c r="G764" s="4">
        <f t="shared" si="71"/>
        <v>1.2042509363718446E-2</v>
      </c>
      <c r="H764" s="4">
        <f t="shared" si="69"/>
        <v>-2.1901647530813824</v>
      </c>
      <c r="I764" s="4">
        <f t="shared" si="70"/>
        <v>-3.3173493560246889</v>
      </c>
    </row>
    <row r="765" spans="1:9" x14ac:dyDescent="0.25">
      <c r="A765" s="3">
        <v>41289</v>
      </c>
      <c r="B765" s="4" t="s">
        <v>0</v>
      </c>
      <c r="C765" s="4">
        <v>361.11209969999999</v>
      </c>
      <c r="D765" s="6">
        <f t="shared" si="66"/>
        <v>2.3229038944574208E-3</v>
      </c>
      <c r="E765" s="4">
        <f t="shared" si="67"/>
        <v>6.2546007731797114E-4</v>
      </c>
      <c r="F765" s="6">
        <f t="shared" si="68"/>
        <v>1.6974438171394497E-3</v>
      </c>
      <c r="G765" s="4">
        <f t="shared" si="71"/>
        <v>7.5596311230925334E-2</v>
      </c>
      <c r="H765" s="4">
        <f t="shared" si="69"/>
        <v>2.2454056150362143E-2</v>
      </c>
      <c r="I765" s="4">
        <f t="shared" si="70"/>
        <v>-0.91919062552347452</v>
      </c>
    </row>
    <row r="766" spans="1:9" x14ac:dyDescent="0.25">
      <c r="A766" s="3">
        <v>41290</v>
      </c>
      <c r="B766" s="4" t="s">
        <v>0</v>
      </c>
      <c r="C766" s="4">
        <v>356.2602546</v>
      </c>
      <c r="D766" s="6">
        <f t="shared" si="66"/>
        <v>-1.3435841956087165E-2</v>
      </c>
      <c r="E766" s="4">
        <f t="shared" si="67"/>
        <v>-9.2632593534529434E-3</v>
      </c>
      <c r="F766" s="6">
        <f t="shared" si="68"/>
        <v>-4.1725826026342214E-3</v>
      </c>
      <c r="G766" s="4">
        <f t="shared" si="71"/>
        <v>2.9294433938242499E-2</v>
      </c>
      <c r="H766" s="4">
        <f t="shared" si="69"/>
        <v>-0.14243602083012472</v>
      </c>
      <c r="I766" s="4">
        <f t="shared" si="70"/>
        <v>-0.92908254321963257</v>
      </c>
    </row>
    <row r="767" spans="1:9" x14ac:dyDescent="0.25">
      <c r="A767" s="3">
        <v>41291</v>
      </c>
      <c r="B767" s="4" t="s">
        <v>0</v>
      </c>
      <c r="C767" s="4">
        <v>354.33248639999999</v>
      </c>
      <c r="D767" s="6">
        <f t="shared" si="66"/>
        <v>-5.4111233995620756E-3</v>
      </c>
      <c r="E767" s="4">
        <f t="shared" si="67"/>
        <v>-6.0402867554560369E-3</v>
      </c>
      <c r="F767" s="6">
        <f t="shared" si="68"/>
        <v>6.2916335589396129E-4</v>
      </c>
      <c r="G767" s="4">
        <f t="shared" si="71"/>
        <v>1.3183968412009556E-2</v>
      </c>
      <c r="H767" s="4">
        <f t="shared" si="69"/>
        <v>4.7721849463841483E-2</v>
      </c>
      <c r="I767" s="4">
        <f t="shared" si="70"/>
        <v>-0.9200772206627974</v>
      </c>
    </row>
    <row r="768" spans="1:9" x14ac:dyDescent="0.25">
      <c r="A768" s="3">
        <v>41292</v>
      </c>
      <c r="B768" s="4" t="s">
        <v>0</v>
      </c>
      <c r="C768" s="4">
        <v>350.94020740000002</v>
      </c>
      <c r="D768" s="6">
        <f t="shared" si="66"/>
        <v>-9.5737171447793437E-3</v>
      </c>
      <c r="E768" s="4">
        <f t="shared" si="67"/>
        <v>-4.4249569126098148E-3</v>
      </c>
      <c r="F768" s="6">
        <f t="shared" si="68"/>
        <v>-5.1487602321695289E-3</v>
      </c>
      <c r="G768" s="4">
        <f t="shared" si="71"/>
        <v>7.2668070124507454E-3</v>
      </c>
      <c r="H768" s="4">
        <f t="shared" si="69"/>
        <v>-0.70853130175987689</v>
      </c>
      <c r="I768" s="4">
        <f t="shared" si="70"/>
        <v>-1.1699468359914456</v>
      </c>
    </row>
    <row r="769" spans="1:9" x14ac:dyDescent="0.25">
      <c r="A769" s="3">
        <v>41296</v>
      </c>
      <c r="B769" s="4" t="s">
        <v>0</v>
      </c>
      <c r="C769" s="4">
        <v>350.12325060000001</v>
      </c>
      <c r="D769" s="6">
        <f t="shared" si="66"/>
        <v>-2.3279088083197333E-3</v>
      </c>
      <c r="E769" s="4">
        <f t="shared" si="67"/>
        <v>-6.183507813905845E-3</v>
      </c>
      <c r="F769" s="6">
        <f t="shared" si="68"/>
        <v>3.8555990055861118E-3</v>
      </c>
      <c r="G769" s="4">
        <f t="shared" si="71"/>
        <v>2.5015278293873788E-2</v>
      </c>
      <c r="H769" s="4">
        <f t="shared" si="69"/>
        <v>0.15412976662867442</v>
      </c>
      <c r="I769" s="4">
        <f t="shared" si="70"/>
        <v>-0.93081652568517748</v>
      </c>
    </row>
    <row r="770" spans="1:9" x14ac:dyDescent="0.25">
      <c r="A770" s="3">
        <v>41297</v>
      </c>
      <c r="B770" s="4" t="s">
        <v>0</v>
      </c>
      <c r="C770" s="4">
        <v>369.36617289999998</v>
      </c>
      <c r="D770" s="6">
        <f t="shared" si="66"/>
        <v>5.4960423985050182E-2</v>
      </c>
      <c r="E770" s="4">
        <f t="shared" si="67"/>
        <v>-5.317048165639297E-3</v>
      </c>
      <c r="F770" s="6">
        <f t="shared" si="68"/>
        <v>6.027747215068948E-2</v>
      </c>
      <c r="G770" s="4">
        <f t="shared" si="71"/>
        <v>1.2002054628678691E-2</v>
      </c>
      <c r="H770" s="4">
        <f t="shared" si="69"/>
        <v>5.0222627721304951</v>
      </c>
      <c r="I770" s="4">
        <f t="shared" si="70"/>
        <v>-13.530500209368615</v>
      </c>
    </row>
    <row r="771" spans="1:9" x14ac:dyDescent="0.25">
      <c r="A771" s="3">
        <v>41298</v>
      </c>
      <c r="B771" s="4" t="s">
        <v>0</v>
      </c>
      <c r="C771" s="4">
        <v>375.69745219999999</v>
      </c>
      <c r="D771" s="6">
        <f t="shared" si="66"/>
        <v>1.7140928879034352E-2</v>
      </c>
      <c r="E771" s="4">
        <f t="shared" si="67"/>
        <v>-3.8207839946551893E-3</v>
      </c>
      <c r="F771" s="6">
        <f t="shared" si="68"/>
        <v>2.0961712873689541E-2</v>
      </c>
      <c r="G771" s="4">
        <f t="shared" si="71"/>
        <v>0.17278443700599005</v>
      </c>
      <c r="H771" s="4">
        <f t="shared" si="69"/>
        <v>0.12131713502045816</v>
      </c>
      <c r="I771" s="4">
        <f t="shared" si="70"/>
        <v>-0.92629745682945874</v>
      </c>
    </row>
    <row r="772" spans="1:9" x14ac:dyDescent="0.25">
      <c r="A772" s="3">
        <v>41299</v>
      </c>
      <c r="B772" s="4" t="s">
        <v>0</v>
      </c>
      <c r="C772" s="4">
        <v>375.42843900000003</v>
      </c>
      <c r="D772" s="6">
        <f t="shared" ref="D772:D835" si="72">(C772-C771)/C771</f>
        <v>-7.1603679616318884E-4</v>
      </c>
      <c r="E772" s="4">
        <f t="shared" si="67"/>
        <v>2.0297643457671308E-2</v>
      </c>
      <c r="F772" s="6">
        <f t="shared" si="68"/>
        <v>-2.1013680253834495E-2</v>
      </c>
      <c r="G772" s="4">
        <f t="shared" si="71"/>
        <v>6.6277313681695205E-2</v>
      </c>
      <c r="H772" s="4">
        <f t="shared" si="69"/>
        <v>-0.31705690962001309</v>
      </c>
      <c r="I772" s="4">
        <f t="shared" si="70"/>
        <v>-0.96920107517356935</v>
      </c>
    </row>
    <row r="773" spans="1:9" x14ac:dyDescent="0.25">
      <c r="A773" s="3">
        <v>41302</v>
      </c>
      <c r="B773" s="4" t="s">
        <v>0</v>
      </c>
      <c r="C773" s="4">
        <v>373.96392839999999</v>
      </c>
      <c r="D773" s="6">
        <f t="shared" si="72"/>
        <v>-3.9009048006617302E-3</v>
      </c>
      <c r="E773" s="4">
        <f t="shared" si="67"/>
        <v>2.3384357978011219E-2</v>
      </c>
      <c r="F773" s="6">
        <f t="shared" si="68"/>
        <v>-2.728526277867295E-2</v>
      </c>
      <c r="G773" s="4">
        <f t="shared" si="71"/>
        <v>2.7994719514247604E-2</v>
      </c>
      <c r="H773" s="4">
        <f t="shared" si="69"/>
        <v>-0.97465748012893705</v>
      </c>
      <c r="I773" s="4">
        <f t="shared" si="70"/>
        <v>-1.3939171349903174</v>
      </c>
    </row>
    <row r="774" spans="1:9" x14ac:dyDescent="0.25">
      <c r="A774" s="3">
        <v>41303</v>
      </c>
      <c r="B774" s="4" t="s">
        <v>0</v>
      </c>
      <c r="C774" s="4">
        <v>375.43344430000002</v>
      </c>
      <c r="D774" s="6">
        <f t="shared" si="72"/>
        <v>3.9295658976718382E-3</v>
      </c>
      <c r="E774" s="4">
        <f t="shared" si="67"/>
        <v>4.9756433824630223E-3</v>
      </c>
      <c r="F774" s="6">
        <f t="shared" si="68"/>
        <v>-1.0460774847911841E-3</v>
      </c>
      <c r="G774" s="4">
        <f t="shared" si="71"/>
        <v>3.5519705000276965E-2</v>
      </c>
      <c r="H774" s="4">
        <f t="shared" si="69"/>
        <v>-2.9450624231902468E-2</v>
      </c>
      <c r="I774" s="4">
        <f t="shared" si="70"/>
        <v>-0.91937220283849708</v>
      </c>
    </row>
    <row r="775" spans="1:9" x14ac:dyDescent="0.25">
      <c r="A775" s="3">
        <v>41304</v>
      </c>
      <c r="B775" s="4" t="s">
        <v>0</v>
      </c>
      <c r="C775" s="4">
        <v>375.50815130000001</v>
      </c>
      <c r="D775" s="6">
        <f t="shared" si="72"/>
        <v>1.9898866532597139E-4</v>
      </c>
      <c r="E775" s="4">
        <f t="shared" ref="E775:E838" si="73">+$M$16*D774+$M$17*D773+$M$18*D772</f>
        <v>-1.7104440945498916E-3</v>
      </c>
      <c r="F775" s="6">
        <f t="shared" ref="F775:F838" si="74">D775-E775</f>
        <v>1.9094327598758629E-3</v>
      </c>
      <c r="G775" s="4">
        <f t="shared" si="71"/>
        <v>1.447974727459065E-2</v>
      </c>
      <c r="H775" s="4">
        <f t="shared" ref="H775:H838" si="75">F775/G775</f>
        <v>0.1318692048739396</v>
      </c>
      <c r="I775" s="4">
        <f t="shared" ref="I775:I838" si="76">LN(_xlfn.NORM.DIST(H775,0,1,FALSE))</f>
        <v>-0.92763327680171515</v>
      </c>
    </row>
    <row r="776" spans="1:9" x14ac:dyDescent="0.25">
      <c r="A776" s="3">
        <v>41305</v>
      </c>
      <c r="B776" s="4" t="s">
        <v>0</v>
      </c>
      <c r="C776" s="4">
        <v>376.43466649999999</v>
      </c>
      <c r="D776" s="6">
        <f t="shared" si="72"/>
        <v>2.4673637490755132E-3</v>
      </c>
      <c r="E776" s="4">
        <f t="shared" si="73"/>
        <v>3.0753463067970154E-4</v>
      </c>
      <c r="F776" s="6">
        <f t="shared" si="74"/>
        <v>2.1598291183958116E-3</v>
      </c>
      <c r="G776" s="4">
        <f t="shared" ref="G776:G839" si="77">SQRT($M$12 + $M$13 *H775^2+$M$14*G775^2)</f>
        <v>8.7114635628153213E-3</v>
      </c>
      <c r="H776" s="4">
        <f t="shared" si="75"/>
        <v>0.24792953592952988</v>
      </c>
      <c r="I776" s="4">
        <f t="shared" si="76"/>
        <v>-0.94967306059778867</v>
      </c>
    </row>
    <row r="777" spans="1:9" x14ac:dyDescent="0.25">
      <c r="A777" s="3">
        <v>41306</v>
      </c>
      <c r="B777" s="4" t="s">
        <v>0</v>
      </c>
      <c r="C777" s="4">
        <v>386.35253039999998</v>
      </c>
      <c r="D777" s="6">
        <f t="shared" si="72"/>
        <v>2.6346839923681649E-2</v>
      </c>
      <c r="E777" s="4">
        <f t="shared" si="73"/>
        <v>1.2795568276789439E-3</v>
      </c>
      <c r="F777" s="6">
        <f t="shared" si="74"/>
        <v>2.5067283096002705E-2</v>
      </c>
      <c r="G777" s="4">
        <f t="shared" si="77"/>
        <v>1.0415798441252891E-2</v>
      </c>
      <c r="H777" s="4">
        <f t="shared" si="75"/>
        <v>2.4066597714411437</v>
      </c>
      <c r="I777" s="4">
        <f t="shared" si="76"/>
        <v>-3.8149441609412418</v>
      </c>
    </row>
    <row r="778" spans="1:9" x14ac:dyDescent="0.25">
      <c r="A778" s="3">
        <v>41309</v>
      </c>
      <c r="B778" s="4" t="s">
        <v>0</v>
      </c>
      <c r="C778" s="4">
        <v>378.09345239999999</v>
      </c>
      <c r="D778" s="6">
        <f t="shared" si="72"/>
        <v>-2.1377051656550995E-2</v>
      </c>
      <c r="E778" s="4">
        <f t="shared" si="73"/>
        <v>1.0046895420091739E-3</v>
      </c>
      <c r="F778" s="6">
        <f t="shared" si="74"/>
        <v>-2.2381741198560168E-2</v>
      </c>
      <c r="G778" s="4">
        <f t="shared" si="77"/>
        <v>8.2979476349349365E-2</v>
      </c>
      <c r="H778" s="4">
        <f t="shared" si="75"/>
        <v>-0.2697262284993398</v>
      </c>
      <c r="I778" s="4">
        <f t="shared" si="76"/>
        <v>-0.95531465237491164</v>
      </c>
    </row>
    <row r="779" spans="1:9" x14ac:dyDescent="0.25">
      <c r="A779" s="3">
        <v>41310</v>
      </c>
      <c r="B779" s="4" t="s">
        <v>0</v>
      </c>
      <c r="C779" s="4">
        <v>381.44093120000002</v>
      </c>
      <c r="D779" s="6">
        <f t="shared" si="72"/>
        <v>8.8535751644241729E-3</v>
      </c>
      <c r="E779" s="4">
        <f t="shared" si="73"/>
        <v>1.0827057404383894E-2</v>
      </c>
      <c r="F779" s="6">
        <f t="shared" si="74"/>
        <v>-1.9734822399597209E-3</v>
      </c>
      <c r="G779" s="4">
        <f t="shared" si="77"/>
        <v>3.3379015015772333E-2</v>
      </c>
      <c r="H779" s="4">
        <f t="shared" si="75"/>
        <v>-5.9123441450480374E-2</v>
      </c>
      <c r="I779" s="4">
        <f t="shared" si="76"/>
        <v>-0.92068632386914684</v>
      </c>
    </row>
    <row r="780" spans="1:9" x14ac:dyDescent="0.25">
      <c r="A780" s="3">
        <v>41311</v>
      </c>
      <c r="B780" s="4" t="s">
        <v>0</v>
      </c>
      <c r="C780" s="4">
        <v>383.64766090000001</v>
      </c>
      <c r="D780" s="6">
        <f t="shared" si="72"/>
        <v>5.7852462059005752E-3</v>
      </c>
      <c r="E780" s="4">
        <f t="shared" si="73"/>
        <v>-1.0304749184512213E-4</v>
      </c>
      <c r="F780" s="6">
        <f t="shared" si="74"/>
        <v>5.8882936977456973E-3</v>
      </c>
      <c r="G780" s="4">
        <f t="shared" si="77"/>
        <v>1.3830265024868881E-2</v>
      </c>
      <c r="H780" s="4">
        <f t="shared" si="75"/>
        <v>0.42575421997753959</v>
      </c>
      <c r="I780" s="4">
        <f t="shared" si="76"/>
        <v>-1.0095718611190143</v>
      </c>
    </row>
    <row r="781" spans="1:9" x14ac:dyDescent="0.25">
      <c r="A781" s="3">
        <v>41312</v>
      </c>
      <c r="B781" s="4" t="s">
        <v>0</v>
      </c>
      <c r="C781" s="4">
        <v>385.53059869999998</v>
      </c>
      <c r="D781" s="6">
        <f t="shared" si="72"/>
        <v>4.9079871765223089E-3</v>
      </c>
      <c r="E781" s="4">
        <f t="shared" si="73"/>
        <v>-3.1621158693246379E-3</v>
      </c>
      <c r="F781" s="6">
        <f t="shared" si="74"/>
        <v>8.0701030458469464E-3</v>
      </c>
      <c r="G781" s="4">
        <f t="shared" si="77"/>
        <v>1.6336468941986745E-2</v>
      </c>
      <c r="H781" s="4">
        <f t="shared" si="75"/>
        <v>0.49399310674204411</v>
      </c>
      <c r="I781" s="4">
        <f t="shared" si="76"/>
        <v>-1.040953127959001</v>
      </c>
    </row>
    <row r="782" spans="1:9" x14ac:dyDescent="0.25">
      <c r="A782" s="3">
        <v>41313</v>
      </c>
      <c r="B782" s="4" t="s">
        <v>0</v>
      </c>
      <c r="C782" s="4">
        <v>391.21929849999998</v>
      </c>
      <c r="D782" s="6">
        <f t="shared" si="72"/>
        <v>1.4755507913463044E-2</v>
      </c>
      <c r="E782" s="4">
        <f t="shared" si="73"/>
        <v>4.9231045307214132E-3</v>
      </c>
      <c r="F782" s="6">
        <f t="shared" si="74"/>
        <v>9.83240338274163E-3</v>
      </c>
      <c r="G782" s="4">
        <f t="shared" si="77"/>
        <v>1.8763535554807892E-2</v>
      </c>
      <c r="H782" s="4">
        <f t="shared" si="75"/>
        <v>0.52401656148551468</v>
      </c>
      <c r="I782" s="4">
        <f t="shared" si="76"/>
        <v>-1.0562352115602238</v>
      </c>
    </row>
    <row r="783" spans="1:9" x14ac:dyDescent="0.25">
      <c r="A783" s="3">
        <v>41316</v>
      </c>
      <c r="B783" s="4" t="s">
        <v>0</v>
      </c>
      <c r="C783" s="4">
        <v>389.7497831</v>
      </c>
      <c r="D783" s="6">
        <f t="shared" si="72"/>
        <v>-3.7562446577516615E-3</v>
      </c>
      <c r="E783" s="4">
        <f t="shared" si="73"/>
        <v>3.648261056399019E-3</v>
      </c>
      <c r="F783" s="6">
        <f t="shared" si="74"/>
        <v>-7.40450571415068E-3</v>
      </c>
      <c r="G783" s="4">
        <f t="shared" si="77"/>
        <v>2.0015124433136133E-2</v>
      </c>
      <c r="H783" s="4">
        <f t="shared" si="75"/>
        <v>-0.36994552488977367</v>
      </c>
      <c r="I783" s="4">
        <f t="shared" si="76"/>
        <v>-0.98736837889765772</v>
      </c>
    </row>
    <row r="784" spans="1:9" x14ac:dyDescent="0.25">
      <c r="A784" s="3">
        <v>41317</v>
      </c>
      <c r="B784" s="4" t="s">
        <v>0</v>
      </c>
      <c r="C784" s="4">
        <v>388.89300109999999</v>
      </c>
      <c r="D784" s="6">
        <f t="shared" si="72"/>
        <v>-2.1982873041912149E-3</v>
      </c>
      <c r="E784" s="4">
        <f t="shared" si="73"/>
        <v>7.1437308192439583E-3</v>
      </c>
      <c r="F784" s="6">
        <f t="shared" si="74"/>
        <v>-9.3420181234351723E-3</v>
      </c>
      <c r="G784" s="4">
        <f t="shared" si="77"/>
        <v>1.5649417458294991E-2</v>
      </c>
      <c r="H784" s="4">
        <f t="shared" si="75"/>
        <v>-0.59695628596599459</v>
      </c>
      <c r="I784" s="4">
        <f t="shared" si="76"/>
        <v>-1.0971169368818299</v>
      </c>
    </row>
    <row r="785" spans="1:9" x14ac:dyDescent="0.25">
      <c r="A785" s="3">
        <v>41318</v>
      </c>
      <c r="B785" s="4" t="s">
        <v>0</v>
      </c>
      <c r="C785" s="4">
        <v>389.9689611</v>
      </c>
      <c r="D785" s="6">
        <f t="shared" si="72"/>
        <v>2.7667250296524023E-3</v>
      </c>
      <c r="E785" s="4">
        <f t="shared" si="73"/>
        <v>3.0829287059992933E-3</v>
      </c>
      <c r="F785" s="6">
        <f t="shared" si="74"/>
        <v>-3.1620367634689096E-4</v>
      </c>
      <c r="G785" s="4">
        <f t="shared" si="77"/>
        <v>2.1945765333025957E-2</v>
      </c>
      <c r="H785" s="4">
        <f t="shared" si="75"/>
        <v>-1.4408414176881738E-2</v>
      </c>
      <c r="I785" s="4">
        <f t="shared" si="76"/>
        <v>-0.91904233440421901</v>
      </c>
    </row>
    <row r="786" spans="1:9" x14ac:dyDescent="0.25">
      <c r="A786" s="3">
        <v>41319</v>
      </c>
      <c r="B786" s="4" t="s">
        <v>0</v>
      </c>
      <c r="C786" s="4">
        <v>392.4397295</v>
      </c>
      <c r="D786" s="6">
        <f t="shared" si="72"/>
        <v>6.3358078371945513E-3</v>
      </c>
      <c r="E786" s="4">
        <f t="shared" si="73"/>
        <v>-1.9906624506846392E-3</v>
      </c>
      <c r="F786" s="6">
        <f t="shared" si="74"/>
        <v>8.32647028787919E-3</v>
      </c>
      <c r="G786" s="4">
        <f t="shared" si="77"/>
        <v>9.7577725980713594E-3</v>
      </c>
      <c r="H786" s="4">
        <f t="shared" si="75"/>
        <v>0.85331669745254479</v>
      </c>
      <c r="I786" s="4">
        <f t="shared" si="76"/>
        <v>-1.2830132262803315</v>
      </c>
    </row>
    <row r="787" spans="1:9" x14ac:dyDescent="0.25">
      <c r="A787" s="3">
        <v>41320</v>
      </c>
      <c r="B787" s="4" t="s">
        <v>0</v>
      </c>
      <c r="C787" s="4">
        <v>394.96524629999999</v>
      </c>
      <c r="D787" s="6">
        <f t="shared" si="72"/>
        <v>6.4354259014949991E-3</v>
      </c>
      <c r="E787" s="4">
        <f t="shared" si="73"/>
        <v>3.8455784584053368E-4</v>
      </c>
      <c r="F787" s="6">
        <f t="shared" si="74"/>
        <v>6.0508680556544655E-3</v>
      </c>
      <c r="G787" s="4">
        <f t="shared" si="77"/>
        <v>2.9986457654959935E-2</v>
      </c>
      <c r="H787" s="4">
        <f t="shared" si="75"/>
        <v>0.2017866906881419</v>
      </c>
      <c r="I787" s="4">
        <f t="shared" si="76"/>
        <v>-0.93929746747410858</v>
      </c>
    </row>
    <row r="788" spans="1:9" x14ac:dyDescent="0.25">
      <c r="A788" s="3">
        <v>41324</v>
      </c>
      <c r="B788" s="4" t="s">
        <v>0</v>
      </c>
      <c r="C788" s="4">
        <v>401.91920709999999</v>
      </c>
      <c r="D788" s="6">
        <f t="shared" si="72"/>
        <v>1.7606513142976763E-2</v>
      </c>
      <c r="E788" s="4">
        <f t="shared" si="73"/>
        <v>3.2694920305174065E-3</v>
      </c>
      <c r="F788" s="6">
        <f t="shared" si="74"/>
        <v>1.4337021112459356E-2</v>
      </c>
      <c r="G788" s="4">
        <f t="shared" si="77"/>
        <v>1.4280726652554598E-2</v>
      </c>
      <c r="H788" s="4">
        <f t="shared" si="75"/>
        <v>1.0039419884768039</v>
      </c>
      <c r="I788" s="4">
        <f t="shared" si="76"/>
        <v>-1.4228882913180523</v>
      </c>
    </row>
    <row r="789" spans="1:9" x14ac:dyDescent="0.25">
      <c r="A789" s="3">
        <v>41325</v>
      </c>
      <c r="B789" s="4" t="s">
        <v>0</v>
      </c>
      <c r="C789" s="4">
        <v>394.75104320000003</v>
      </c>
      <c r="D789" s="6">
        <f t="shared" si="72"/>
        <v>-1.7834837881277179E-2</v>
      </c>
      <c r="E789" s="4">
        <f t="shared" si="73"/>
        <v>4.4008368745237624E-3</v>
      </c>
      <c r="F789" s="6">
        <f t="shared" si="74"/>
        <v>-2.223567475580094E-2</v>
      </c>
      <c r="G789" s="4">
        <f t="shared" si="77"/>
        <v>3.5293627337505781E-2</v>
      </c>
      <c r="H789" s="4">
        <f t="shared" si="75"/>
        <v>-0.63001953704462577</v>
      </c>
      <c r="I789" s="4">
        <f t="shared" si="76"/>
        <v>-1.117400841733635</v>
      </c>
    </row>
    <row r="790" spans="1:9" x14ac:dyDescent="0.25">
      <c r="A790" s="3">
        <v>41326</v>
      </c>
      <c r="B790" s="4" t="s">
        <v>0</v>
      </c>
      <c r="C790" s="4">
        <v>396.2803121</v>
      </c>
      <c r="D790" s="6">
        <f t="shared" si="72"/>
        <v>3.8740085082566203E-3</v>
      </c>
      <c r="E790" s="4">
        <f t="shared" si="73"/>
        <v>8.7011107812329201E-3</v>
      </c>
      <c r="F790" s="6">
        <f t="shared" si="74"/>
        <v>-4.8271022729762993E-3</v>
      </c>
      <c r="G790" s="4">
        <f t="shared" si="77"/>
        <v>2.5988277987227602E-2</v>
      </c>
      <c r="H790" s="4">
        <f t="shared" si="75"/>
        <v>-0.18574152067130664</v>
      </c>
      <c r="I790" s="4">
        <f t="shared" si="76"/>
        <v>-0.93618848945531741</v>
      </c>
    </row>
    <row r="791" spans="1:9" x14ac:dyDescent="0.25">
      <c r="A791" s="3">
        <v>41327</v>
      </c>
      <c r="B791" s="4" t="s">
        <v>0</v>
      </c>
      <c r="C791" s="4">
        <v>398.36252990000003</v>
      </c>
      <c r="D791" s="6">
        <f t="shared" si="72"/>
        <v>5.2544063795795714E-3</v>
      </c>
      <c r="E791" s="4">
        <f t="shared" si="73"/>
        <v>-1.4257767859158412E-3</v>
      </c>
      <c r="F791" s="6">
        <f t="shared" si="74"/>
        <v>6.6801831654954126E-3</v>
      </c>
      <c r="G791" s="4">
        <f t="shared" si="77"/>
        <v>1.280539875899067E-2</v>
      </c>
      <c r="H791" s="4">
        <f t="shared" si="75"/>
        <v>0.52166928115418942</v>
      </c>
      <c r="I791" s="4">
        <f t="shared" si="76"/>
        <v>-1.0550079526546372</v>
      </c>
    </row>
    <row r="792" spans="1:9" x14ac:dyDescent="0.25">
      <c r="A792" s="3">
        <v>41330</v>
      </c>
      <c r="B792" s="4" t="s">
        <v>0</v>
      </c>
      <c r="C792" s="4">
        <v>393.90921409999999</v>
      </c>
      <c r="D792" s="6">
        <f t="shared" si="72"/>
        <v>-1.117905291222532E-2</v>
      </c>
      <c r="E792" s="4">
        <f t="shared" si="73"/>
        <v>-3.9809005251014631E-3</v>
      </c>
      <c r="F792" s="6">
        <f t="shared" si="74"/>
        <v>-7.1981523871238566E-3</v>
      </c>
      <c r="G792" s="4">
        <f t="shared" si="77"/>
        <v>1.9243050401117432E-2</v>
      </c>
      <c r="H792" s="4">
        <f t="shared" si="75"/>
        <v>-0.37406503839463334</v>
      </c>
      <c r="I792" s="4">
        <f t="shared" si="76"/>
        <v>-0.98890085967926189</v>
      </c>
    </row>
    <row r="793" spans="1:9" x14ac:dyDescent="0.25">
      <c r="A793" s="3">
        <v>41331</v>
      </c>
      <c r="B793" s="4" t="s">
        <v>0</v>
      </c>
      <c r="C793" s="4">
        <v>393.59039660000002</v>
      </c>
      <c r="D793" s="6">
        <f t="shared" si="72"/>
        <v>-8.0936796751098395E-4</v>
      </c>
      <c r="E793" s="4">
        <f t="shared" si="73"/>
        <v>3.1948504505344283E-3</v>
      </c>
      <c r="F793" s="6">
        <f t="shared" si="74"/>
        <v>-4.004218418045412E-3</v>
      </c>
      <c r="G793" s="4">
        <f t="shared" si="77"/>
        <v>1.5624004630186549E-2</v>
      </c>
      <c r="H793" s="4">
        <f t="shared" si="75"/>
        <v>-0.25628630513261708</v>
      </c>
      <c r="I793" s="4">
        <f t="shared" si="76"/>
        <v>-0.95177986830393713</v>
      </c>
    </row>
    <row r="794" spans="1:9" x14ac:dyDescent="0.25">
      <c r="A794" s="3">
        <v>41332</v>
      </c>
      <c r="B794" s="4" t="s">
        <v>0</v>
      </c>
      <c r="C794" s="4">
        <v>398.39738130000001</v>
      </c>
      <c r="D794" s="6">
        <f t="shared" si="72"/>
        <v>1.2213165619701979E-2</v>
      </c>
      <c r="E794" s="4">
        <f t="shared" si="73"/>
        <v>-2.6643622068372296E-3</v>
      </c>
      <c r="F794" s="6">
        <f t="shared" si="74"/>
        <v>1.4877527826539208E-2</v>
      </c>
      <c r="G794" s="4">
        <f t="shared" si="77"/>
        <v>1.1746579878873143E-2</v>
      </c>
      <c r="H794" s="4">
        <f t="shared" si="75"/>
        <v>1.2665412383818413</v>
      </c>
      <c r="I794" s="4">
        <f t="shared" si="76"/>
        <v>-1.7210018874655768</v>
      </c>
    </row>
    <row r="795" spans="1:9" x14ac:dyDescent="0.25">
      <c r="A795" s="3">
        <v>41333</v>
      </c>
      <c r="B795" s="4" t="s">
        <v>0</v>
      </c>
      <c r="C795" s="4">
        <v>399.1047494</v>
      </c>
      <c r="D795" s="6">
        <f t="shared" si="72"/>
        <v>1.7755340100173407E-3</v>
      </c>
      <c r="E795" s="4">
        <f t="shared" si="73"/>
        <v>-3.7327699718439026E-3</v>
      </c>
      <c r="F795" s="6">
        <f t="shared" si="74"/>
        <v>5.5083039818612433E-3</v>
      </c>
      <c r="G795" s="4">
        <f t="shared" si="77"/>
        <v>4.4052807640895107E-2</v>
      </c>
      <c r="H795" s="4">
        <f t="shared" si="75"/>
        <v>0.12503865875617368</v>
      </c>
      <c r="I795" s="4">
        <f t="shared" si="76"/>
        <v>-0.92675586629644413</v>
      </c>
    </row>
    <row r="796" spans="1:9" x14ac:dyDescent="0.25">
      <c r="A796" s="3">
        <v>41334</v>
      </c>
      <c r="B796" s="4" t="s">
        <v>0</v>
      </c>
      <c r="C796" s="4">
        <v>401.59044089999998</v>
      </c>
      <c r="D796" s="6">
        <f t="shared" si="72"/>
        <v>6.2281681782461219E-3</v>
      </c>
      <c r="E796" s="4">
        <f t="shared" si="73"/>
        <v>4.4210041732861659E-3</v>
      </c>
      <c r="F796" s="6">
        <f t="shared" si="74"/>
        <v>1.807164004959956E-3</v>
      </c>
      <c r="G796" s="4">
        <f t="shared" si="77"/>
        <v>1.8057174944242967E-2</v>
      </c>
      <c r="H796" s="4">
        <f t="shared" si="75"/>
        <v>0.10008010724491101</v>
      </c>
      <c r="I796" s="4">
        <f t="shared" si="76"/>
        <v>-0.92394654713774904</v>
      </c>
    </row>
    <row r="797" spans="1:9" x14ac:dyDescent="0.25">
      <c r="A797" s="3">
        <v>41337</v>
      </c>
      <c r="B797" s="4" t="s">
        <v>0</v>
      </c>
      <c r="C797" s="4">
        <v>409.21685780000001</v>
      </c>
      <c r="D797" s="6">
        <f t="shared" si="72"/>
        <v>1.8990533945251679E-2</v>
      </c>
      <c r="E797" s="4">
        <f t="shared" si="73"/>
        <v>4.4191833037769395E-3</v>
      </c>
      <c r="F797" s="6">
        <f t="shared" si="74"/>
        <v>1.457135064147474E-2</v>
      </c>
      <c r="G797" s="4">
        <f t="shared" si="77"/>
        <v>9.1726584615324513E-3</v>
      </c>
      <c r="H797" s="4">
        <f t="shared" si="75"/>
        <v>1.5885635230596324</v>
      </c>
      <c r="I797" s="4">
        <f t="shared" si="76"/>
        <v>-2.1807055666024882</v>
      </c>
    </row>
    <row r="798" spans="1:9" x14ac:dyDescent="0.25">
      <c r="A798" s="3">
        <v>41338</v>
      </c>
      <c r="B798" s="4" t="s">
        <v>0</v>
      </c>
      <c r="C798" s="4">
        <v>417.73493889999997</v>
      </c>
      <c r="D798" s="6">
        <f t="shared" si="72"/>
        <v>2.0815567437261037E-2</v>
      </c>
      <c r="E798" s="4">
        <f t="shared" si="73"/>
        <v>2.9250402874701764E-3</v>
      </c>
      <c r="F798" s="6">
        <f t="shared" si="74"/>
        <v>1.789052714979086E-2</v>
      </c>
      <c r="G798" s="4">
        <f t="shared" si="77"/>
        <v>5.4948693895491084E-2</v>
      </c>
      <c r="H798" s="4">
        <f t="shared" si="75"/>
        <v>0.32558603092218175</v>
      </c>
      <c r="I798" s="4">
        <f t="shared" si="76"/>
        <v>-0.97194166497050261</v>
      </c>
    </row>
    <row r="799" spans="1:9" x14ac:dyDescent="0.25">
      <c r="A799" s="3">
        <v>41339</v>
      </c>
      <c r="B799" s="4" t="s">
        <v>0</v>
      </c>
      <c r="C799" s="4">
        <v>414.1384056</v>
      </c>
      <c r="D799" s="6">
        <f t="shared" si="72"/>
        <v>-8.6096061523379952E-3</v>
      </c>
      <c r="E799" s="4">
        <f t="shared" si="73"/>
        <v>9.1674930474229081E-3</v>
      </c>
      <c r="F799" s="6">
        <f t="shared" si="74"/>
        <v>-1.7777099199760903E-2</v>
      </c>
      <c r="G799" s="4">
        <f t="shared" si="77"/>
        <v>2.4291072512048571E-2</v>
      </c>
      <c r="H799" s="4">
        <f t="shared" si="75"/>
        <v>-0.73183673511918079</v>
      </c>
      <c r="I799" s="4">
        <f t="shared" si="76"/>
        <v>-1.1867310366396238</v>
      </c>
    </row>
    <row r="800" spans="1:9" x14ac:dyDescent="0.25">
      <c r="A800" s="3">
        <v>41340</v>
      </c>
      <c r="B800" s="4" t="s">
        <v>0</v>
      </c>
      <c r="C800" s="4">
        <v>414.74613369999997</v>
      </c>
      <c r="D800" s="6">
        <f t="shared" si="72"/>
        <v>1.4674516822932742E-3</v>
      </c>
      <c r="E800" s="4">
        <f t="shared" si="73"/>
        <v>1.3773079662618024E-2</v>
      </c>
      <c r="F800" s="6">
        <f t="shared" si="74"/>
        <v>-1.230562798032475E-2</v>
      </c>
      <c r="G800" s="4">
        <f t="shared" si="77"/>
        <v>2.7271327505076649E-2</v>
      </c>
      <c r="H800" s="4">
        <f t="shared" si="75"/>
        <v>-0.45122951854962012</v>
      </c>
      <c r="I800" s="4">
        <f t="shared" si="76"/>
        <v>-1.0207425724099337</v>
      </c>
    </row>
    <row r="801" spans="1:9" x14ac:dyDescent="0.25">
      <c r="A801" s="3">
        <v>41341</v>
      </c>
      <c r="B801" s="4" t="s">
        <v>0</v>
      </c>
      <c r="C801" s="4">
        <v>414.20816860000002</v>
      </c>
      <c r="D801" s="6">
        <f t="shared" si="72"/>
        <v>-1.2970949124967125E-3</v>
      </c>
      <c r="E801" s="4">
        <f t="shared" si="73"/>
        <v>3.0835694230322216E-3</v>
      </c>
      <c r="F801" s="6">
        <f t="shared" si="74"/>
        <v>-4.3806643355289339E-3</v>
      </c>
      <c r="G801" s="4">
        <f t="shared" si="77"/>
        <v>1.933360383475274E-2</v>
      </c>
      <c r="H801" s="4">
        <f t="shared" si="75"/>
        <v>-0.22658291609630257</v>
      </c>
      <c r="I801" s="4">
        <f t="shared" si="76"/>
        <v>-0.94460844213802475</v>
      </c>
    </row>
    <row r="802" spans="1:9" x14ac:dyDescent="0.25">
      <c r="A802" s="3">
        <v>41344</v>
      </c>
      <c r="B802" s="4" t="s">
        <v>0</v>
      </c>
      <c r="C802" s="4">
        <v>415.8520011</v>
      </c>
      <c r="D802" s="6">
        <f t="shared" si="72"/>
        <v>3.968614393955662E-3</v>
      </c>
      <c r="E802" s="4">
        <f t="shared" si="73"/>
        <v>-2.0757605913276295E-3</v>
      </c>
      <c r="F802" s="6">
        <f t="shared" si="74"/>
        <v>6.0443749852832915E-3</v>
      </c>
      <c r="G802" s="4">
        <f t="shared" si="77"/>
        <v>1.1829159788381931E-2</v>
      </c>
      <c r="H802" s="4">
        <f t="shared" si="75"/>
        <v>0.51097246917061723</v>
      </c>
      <c r="I802" s="4">
        <f t="shared" si="76"/>
        <v>-1.0494849653298315</v>
      </c>
    </row>
    <row r="803" spans="1:9" x14ac:dyDescent="0.25">
      <c r="A803" s="3">
        <v>41345</v>
      </c>
      <c r="B803" s="4" t="s">
        <v>0</v>
      </c>
      <c r="C803" s="4">
        <v>412.2604422</v>
      </c>
      <c r="D803" s="6">
        <f t="shared" si="72"/>
        <v>-8.6366276716228485E-3</v>
      </c>
      <c r="E803" s="4">
        <f t="shared" si="73"/>
        <v>-4.6362731076100957E-5</v>
      </c>
      <c r="F803" s="6">
        <f t="shared" si="74"/>
        <v>-8.5902649405467484E-3</v>
      </c>
      <c r="G803" s="4">
        <f t="shared" si="77"/>
        <v>1.8807879095903823E-2</v>
      </c>
      <c r="H803" s="4">
        <f t="shared" si="75"/>
        <v>-0.4567375670985479</v>
      </c>
      <c r="I803" s="4">
        <f t="shared" si="76"/>
        <v>-1.0232431358042229</v>
      </c>
    </row>
    <row r="804" spans="1:9" x14ac:dyDescent="0.25">
      <c r="A804" s="3">
        <v>41346</v>
      </c>
      <c r="B804" s="4" t="s">
        <v>0</v>
      </c>
      <c r="C804" s="4">
        <v>411.11474900000002</v>
      </c>
      <c r="D804" s="6">
        <f t="shared" si="72"/>
        <v>-2.7790519844350528E-3</v>
      </c>
      <c r="E804" s="4">
        <f t="shared" si="73"/>
        <v>1.1197078839075923E-3</v>
      </c>
      <c r="F804" s="6">
        <f t="shared" si="74"/>
        <v>-3.8987598683426451E-3</v>
      </c>
      <c r="G804" s="4">
        <f t="shared" si="77"/>
        <v>1.7968525979601906E-2</v>
      </c>
      <c r="H804" s="4">
        <f t="shared" si="75"/>
        <v>-0.21697716734074715</v>
      </c>
      <c r="I804" s="4">
        <f t="shared" si="76"/>
        <v>-0.94247807877827994</v>
      </c>
    </row>
    <row r="805" spans="1:9" x14ac:dyDescent="0.25">
      <c r="A805" s="3">
        <v>41347</v>
      </c>
      <c r="B805" s="4" t="s">
        <v>0</v>
      </c>
      <c r="C805" s="4">
        <v>409.23678560000002</v>
      </c>
      <c r="D805" s="6">
        <f t="shared" si="72"/>
        <v>-4.5679786594082974E-3</v>
      </c>
      <c r="E805" s="4">
        <f t="shared" si="73"/>
        <v>-2.086261909911992E-3</v>
      </c>
      <c r="F805" s="6">
        <f t="shared" si="74"/>
        <v>-2.4817167494963054E-3</v>
      </c>
      <c r="G805" s="4">
        <f t="shared" si="77"/>
        <v>1.1290411781621327E-2</v>
      </c>
      <c r="H805" s="4">
        <f t="shared" si="75"/>
        <v>-0.21980746118897762</v>
      </c>
      <c r="I805" s="4">
        <f t="shared" si="76"/>
        <v>-0.94309619320184468</v>
      </c>
    </row>
    <row r="806" spans="1:9" x14ac:dyDescent="0.25">
      <c r="A806" s="3">
        <v>41348</v>
      </c>
      <c r="B806" s="4" t="s">
        <v>0</v>
      </c>
      <c r="C806" s="4">
        <v>405.63030350000002</v>
      </c>
      <c r="D806" s="6">
        <f t="shared" si="72"/>
        <v>-8.8127026379419236E-3</v>
      </c>
      <c r="E806" s="4">
        <f t="shared" si="73"/>
        <v>-3.7074515071375707E-3</v>
      </c>
      <c r="F806" s="6">
        <f t="shared" si="74"/>
        <v>-5.1052511308043533E-3</v>
      </c>
      <c r="G806" s="4">
        <f t="shared" si="77"/>
        <v>1.0023011407802571E-2</v>
      </c>
      <c r="H806" s="4">
        <f t="shared" si="75"/>
        <v>-0.50935302007439498</v>
      </c>
      <c r="I806" s="4">
        <f t="shared" si="76"/>
        <v>-1.0486587827341263</v>
      </c>
    </row>
    <row r="807" spans="1:9" x14ac:dyDescent="0.25">
      <c r="A807" s="3">
        <v>41351</v>
      </c>
      <c r="B807" s="4" t="s">
        <v>0</v>
      </c>
      <c r="C807" s="4">
        <v>402.38743909999999</v>
      </c>
      <c r="D807" s="6">
        <f t="shared" si="72"/>
        <v>-7.9946305096508415E-3</v>
      </c>
      <c r="E807" s="4">
        <f t="shared" si="73"/>
        <v>-2.5975103792996827E-3</v>
      </c>
      <c r="F807" s="6">
        <f t="shared" si="74"/>
        <v>-5.3971201303511587E-3</v>
      </c>
      <c r="G807" s="4">
        <f t="shared" si="77"/>
        <v>1.8601937782124975E-2</v>
      </c>
      <c r="H807" s="4">
        <f t="shared" si="75"/>
        <v>-0.29013752188427239</v>
      </c>
      <c r="I807" s="4">
        <f t="shared" si="76"/>
        <v>-0.96102842400724597</v>
      </c>
    </row>
    <row r="808" spans="1:9" x14ac:dyDescent="0.25">
      <c r="A808" s="3">
        <v>41352</v>
      </c>
      <c r="B808" s="4" t="s">
        <v>0</v>
      </c>
      <c r="C808" s="4">
        <v>404.14586509999998</v>
      </c>
      <c r="D808" s="6">
        <f t="shared" si="72"/>
        <v>4.3699823332780221E-3</v>
      </c>
      <c r="E808" s="4">
        <f t="shared" si="73"/>
        <v>-4.7680265290901743E-3</v>
      </c>
      <c r="F808" s="6">
        <f t="shared" si="74"/>
        <v>9.1380088623681972E-3</v>
      </c>
      <c r="G808" s="4">
        <f t="shared" si="77"/>
        <v>1.321720689146531E-2</v>
      </c>
      <c r="H808" s="4">
        <f t="shared" si="75"/>
        <v>0.69137215883855496</v>
      </c>
      <c r="I808" s="4">
        <f t="shared" si="76"/>
        <v>-1.1579362642132147</v>
      </c>
    </row>
    <row r="809" spans="1:9" x14ac:dyDescent="0.25">
      <c r="A809" s="3">
        <v>41353</v>
      </c>
      <c r="B809" s="4" t="s">
        <v>0</v>
      </c>
      <c r="C809" s="4">
        <v>405.8345276</v>
      </c>
      <c r="D809" s="6">
        <f t="shared" si="72"/>
        <v>4.1783490710270805E-3</v>
      </c>
      <c r="E809" s="4">
        <f t="shared" si="73"/>
        <v>-5.7550033705508104E-3</v>
      </c>
      <c r="F809" s="6">
        <f t="shared" si="74"/>
        <v>9.9333524415778918E-3</v>
      </c>
      <c r="G809" s="4">
        <f t="shared" si="77"/>
        <v>2.4801974632727774E-2</v>
      </c>
      <c r="H809" s="4">
        <f t="shared" si="75"/>
        <v>0.400506515657435</v>
      </c>
      <c r="I809" s="4">
        <f t="shared" si="76"/>
        <v>-0.99914126774670231</v>
      </c>
    </row>
    <row r="810" spans="1:9" x14ac:dyDescent="0.25">
      <c r="A810" s="3">
        <v>41354</v>
      </c>
      <c r="B810" s="4" t="s">
        <v>0</v>
      </c>
      <c r="C810" s="4">
        <v>404.11595770000002</v>
      </c>
      <c r="D810" s="6">
        <f t="shared" si="72"/>
        <v>-4.2346566965683115E-3</v>
      </c>
      <c r="E810" s="4">
        <f t="shared" si="73"/>
        <v>-7.7773628550409498E-4</v>
      </c>
      <c r="F810" s="6">
        <f t="shared" si="74"/>
        <v>-3.4569204110642166E-3</v>
      </c>
      <c r="G810" s="4">
        <f t="shared" si="77"/>
        <v>1.7435399944240579E-2</v>
      </c>
      <c r="H810" s="4">
        <f t="shared" si="75"/>
        <v>-0.19827021015403426</v>
      </c>
      <c r="I810" s="4">
        <f t="shared" si="76"/>
        <v>-0.93859407132193517</v>
      </c>
    </row>
    <row r="811" spans="1:9" x14ac:dyDescent="0.25">
      <c r="A811" s="3">
        <v>41355</v>
      </c>
      <c r="B811" s="4" t="s">
        <v>0</v>
      </c>
      <c r="C811" s="4">
        <v>403.64275140000001</v>
      </c>
      <c r="D811" s="6">
        <f t="shared" si="72"/>
        <v>-1.1709666272355056E-3</v>
      </c>
      <c r="E811" s="4">
        <f t="shared" si="73"/>
        <v>2.9355280749043212E-3</v>
      </c>
      <c r="F811" s="6">
        <f t="shared" si="74"/>
        <v>-4.1064947021398268E-3</v>
      </c>
      <c r="G811" s="4">
        <f t="shared" si="77"/>
        <v>1.0749077156932187E-2</v>
      </c>
      <c r="H811" s="4">
        <f t="shared" si="75"/>
        <v>-0.38203230306999031</v>
      </c>
      <c r="I811" s="4">
        <f t="shared" si="76"/>
        <v>-0.99191287349915325</v>
      </c>
    </row>
    <row r="812" spans="1:9" x14ac:dyDescent="0.25">
      <c r="A812" s="3">
        <v>41358</v>
      </c>
      <c r="B812" s="4" t="s">
        <v>0</v>
      </c>
      <c r="C812" s="4">
        <v>403.3089799</v>
      </c>
      <c r="D812" s="6">
        <f t="shared" si="72"/>
        <v>-8.2689828776152691E-4</v>
      </c>
      <c r="E812" s="4">
        <f t="shared" si="73"/>
        <v>-3.3921602061666748E-4</v>
      </c>
      <c r="F812" s="6">
        <f t="shared" si="74"/>
        <v>-4.8768226714485943E-4</v>
      </c>
      <c r="G812" s="4">
        <f t="shared" si="77"/>
        <v>1.4632336149400545E-2</v>
      </c>
      <c r="H812" s="4">
        <f t="shared" si="75"/>
        <v>-3.332907761040186E-2</v>
      </c>
      <c r="I812" s="4">
        <f t="shared" si="76"/>
        <v>-0.91949394691185282</v>
      </c>
    </row>
    <row r="813" spans="1:9" x14ac:dyDescent="0.25">
      <c r="A813" s="3">
        <v>41359</v>
      </c>
      <c r="B813" s="4" t="s">
        <v>0</v>
      </c>
      <c r="C813" s="4">
        <v>404.6938093</v>
      </c>
      <c r="D813" s="6">
        <f t="shared" si="72"/>
        <v>3.4336686486459286E-3</v>
      </c>
      <c r="E813" s="4">
        <f t="shared" si="73"/>
        <v>-1.7445257246306279E-3</v>
      </c>
      <c r="F813" s="6">
        <f t="shared" si="74"/>
        <v>5.178194373276556E-3</v>
      </c>
      <c r="G813" s="4">
        <f t="shared" si="77"/>
        <v>7.5695977436387911E-3</v>
      </c>
      <c r="H813" s="4">
        <f t="shared" si="75"/>
        <v>0.68407787951851451</v>
      </c>
      <c r="I813" s="4">
        <f t="shared" si="76"/>
        <v>-1.1529198058279462</v>
      </c>
    </row>
    <row r="814" spans="1:9" x14ac:dyDescent="0.25">
      <c r="A814" s="3">
        <v>41360</v>
      </c>
      <c r="B814" s="4" t="s">
        <v>0</v>
      </c>
      <c r="C814" s="4">
        <v>399.83201489999999</v>
      </c>
      <c r="D814" s="6">
        <f t="shared" si="72"/>
        <v>-1.201351315061989E-2</v>
      </c>
      <c r="E814" s="4">
        <f t="shared" si="73"/>
        <v>-6.7464847622224742E-4</v>
      </c>
      <c r="F814" s="6">
        <f t="shared" si="74"/>
        <v>-1.1338864674397642E-2</v>
      </c>
      <c r="G814" s="4">
        <f t="shared" si="77"/>
        <v>2.4211024383549697E-2</v>
      </c>
      <c r="H814" s="4">
        <f t="shared" si="75"/>
        <v>-0.46833477571076637</v>
      </c>
      <c r="I814" s="4">
        <f t="shared" si="76"/>
        <v>-1.0286072642746995</v>
      </c>
    </row>
    <row r="815" spans="1:9" x14ac:dyDescent="0.25">
      <c r="A815" s="3">
        <v>41361</v>
      </c>
      <c r="B815" s="4" t="s">
        <v>0</v>
      </c>
      <c r="C815" s="4">
        <v>395.61283049999997</v>
      </c>
      <c r="D815" s="6">
        <f t="shared" si="72"/>
        <v>-1.0552392611820383E-2</v>
      </c>
      <c r="E815" s="4">
        <f t="shared" si="73"/>
        <v>1.0591404614135563E-3</v>
      </c>
      <c r="F815" s="6">
        <f t="shared" si="74"/>
        <v>-1.161153307323394E-2</v>
      </c>
      <c r="G815" s="4">
        <f t="shared" si="77"/>
        <v>1.922025538651027E-2</v>
      </c>
      <c r="H815" s="4">
        <f t="shared" si="75"/>
        <v>-0.60413000970754482</v>
      </c>
      <c r="I815" s="4">
        <f t="shared" si="76"/>
        <v>-1.1014250675192918</v>
      </c>
    </row>
    <row r="816" spans="1:9" x14ac:dyDescent="0.25">
      <c r="A816" s="3">
        <v>41365</v>
      </c>
      <c r="B816" s="4" t="s">
        <v>0</v>
      </c>
      <c r="C816" s="4">
        <v>399.09977509999999</v>
      </c>
      <c r="D816" s="6">
        <f t="shared" si="72"/>
        <v>8.8140331434473414E-3</v>
      </c>
      <c r="E816" s="4">
        <f t="shared" si="73"/>
        <v>-3.5411588332170708E-3</v>
      </c>
      <c r="F816" s="6">
        <f t="shared" si="74"/>
        <v>1.2355191976664412E-2</v>
      </c>
      <c r="G816" s="4">
        <f t="shared" si="77"/>
        <v>2.2581938525721476E-2</v>
      </c>
      <c r="H816" s="4">
        <f t="shared" si="75"/>
        <v>0.54712716371056869</v>
      </c>
      <c r="I816" s="4">
        <f t="shared" si="76"/>
        <v>-1.0686125998396583</v>
      </c>
    </row>
    <row r="817" spans="1:9" x14ac:dyDescent="0.25">
      <c r="A817" s="3">
        <v>41366</v>
      </c>
      <c r="B817" s="4" t="s">
        <v>0</v>
      </c>
      <c r="C817" s="4">
        <v>405.00264759999999</v>
      </c>
      <c r="D817" s="6">
        <f t="shared" si="72"/>
        <v>1.4790468119208923E-2</v>
      </c>
      <c r="E817" s="4">
        <f t="shared" si="73"/>
        <v>-7.7129490832481516E-3</v>
      </c>
      <c r="F817" s="6">
        <f t="shared" si="74"/>
        <v>2.2503417202457077E-2</v>
      </c>
      <c r="G817" s="4">
        <f t="shared" si="77"/>
        <v>2.1280656403625045E-2</v>
      </c>
      <c r="H817" s="4">
        <f t="shared" si="75"/>
        <v>1.057458791478995</v>
      </c>
      <c r="I817" s="4">
        <f t="shared" si="76"/>
        <v>-1.478048081042781</v>
      </c>
    </row>
    <row r="818" spans="1:9" x14ac:dyDescent="0.25">
      <c r="A818" s="3">
        <v>41367</v>
      </c>
      <c r="B818" s="4" t="s">
        <v>0</v>
      </c>
      <c r="C818" s="4">
        <v>401.59541530000001</v>
      </c>
      <c r="D818" s="6">
        <f t="shared" si="72"/>
        <v>-8.4128642619766807E-3</v>
      </c>
      <c r="E818" s="4">
        <f t="shared" si="73"/>
        <v>1.3802392146759594E-4</v>
      </c>
      <c r="F818" s="6">
        <f t="shared" si="74"/>
        <v>-8.5508881834442767E-3</v>
      </c>
      <c r="G818" s="4">
        <f t="shared" si="77"/>
        <v>3.7580452239834923E-2</v>
      </c>
      <c r="H818" s="4">
        <f t="shared" si="75"/>
        <v>-0.22753553174063235</v>
      </c>
      <c r="I818" s="4">
        <f t="shared" si="76"/>
        <v>-0.94482474230691882</v>
      </c>
    </row>
    <row r="819" spans="1:9" x14ac:dyDescent="0.25">
      <c r="A819" s="3">
        <v>41368</v>
      </c>
      <c r="B819" s="4" t="s">
        <v>0</v>
      </c>
      <c r="C819" s="4">
        <v>396.05118590000001</v>
      </c>
      <c r="D819" s="6">
        <f t="shared" si="72"/>
        <v>-1.380550969651472E-2</v>
      </c>
      <c r="E819" s="4">
        <f t="shared" si="73"/>
        <v>8.3532374643102217E-3</v>
      </c>
      <c r="F819" s="6">
        <f t="shared" si="74"/>
        <v>-2.2158747160824943E-2</v>
      </c>
      <c r="G819" s="4">
        <f t="shared" si="77"/>
        <v>1.708141258040468E-2</v>
      </c>
      <c r="H819" s="4">
        <f t="shared" si="75"/>
        <v>-1.2972432494397355</v>
      </c>
      <c r="I819" s="4">
        <f t="shared" si="76"/>
        <v>-1.7603585573131546</v>
      </c>
    </row>
    <row r="820" spans="1:9" x14ac:dyDescent="0.25">
      <c r="A820" s="3">
        <v>41369</v>
      </c>
      <c r="B820" s="4" t="s">
        <v>0</v>
      </c>
      <c r="C820" s="4">
        <v>390.06362680000001</v>
      </c>
      <c r="D820" s="6">
        <f t="shared" si="72"/>
        <v>-1.5118144606469663E-2</v>
      </c>
      <c r="E820" s="4">
        <f t="shared" si="73"/>
        <v>1.3132743030987225E-3</v>
      </c>
      <c r="F820" s="6">
        <f t="shared" si="74"/>
        <v>-1.6431418909568386E-2</v>
      </c>
      <c r="G820" s="4">
        <f t="shared" si="77"/>
        <v>4.5344067899029554E-2</v>
      </c>
      <c r="H820" s="4">
        <f t="shared" si="75"/>
        <v>-0.36237196332180088</v>
      </c>
      <c r="I820" s="4">
        <f t="shared" si="76"/>
        <v>-0.98459525310552098</v>
      </c>
    </row>
    <row r="821" spans="1:9" x14ac:dyDescent="0.25">
      <c r="A821" s="3">
        <v>41372</v>
      </c>
      <c r="B821" s="4" t="s">
        <v>0</v>
      </c>
      <c r="C821" s="4">
        <v>385.97893319999997</v>
      </c>
      <c r="D821" s="6">
        <f t="shared" si="72"/>
        <v>-1.0471864894222525E-2</v>
      </c>
      <c r="E821" s="4">
        <f t="shared" si="73"/>
        <v>-7.8543200955745116E-3</v>
      </c>
      <c r="F821" s="6">
        <f t="shared" si="74"/>
        <v>-2.6175447986480135E-3</v>
      </c>
      <c r="G821" s="4">
        <f t="shared" si="77"/>
        <v>2.1899595706936118E-2</v>
      </c>
      <c r="H821" s="4">
        <f t="shared" si="75"/>
        <v>-0.11952480007742679</v>
      </c>
      <c r="I821" s="4">
        <f t="shared" si="76"/>
        <v>-0.92608162212144718</v>
      </c>
    </row>
    <row r="822" spans="1:9" x14ac:dyDescent="0.25">
      <c r="A822" s="3">
        <v>41373</v>
      </c>
      <c r="B822" s="4" t="s">
        <v>0</v>
      </c>
      <c r="C822" s="4">
        <v>387.37368029999999</v>
      </c>
      <c r="D822" s="6">
        <f t="shared" si="72"/>
        <v>3.613531672406876E-3</v>
      </c>
      <c r="E822" s="4">
        <f t="shared" si="73"/>
        <v>-1.0007529808718479E-2</v>
      </c>
      <c r="F822" s="6">
        <f t="shared" si="74"/>
        <v>1.3621061481125355E-2</v>
      </c>
      <c r="G822" s="4">
        <f t="shared" si="77"/>
        <v>1.0562063861159696E-2</v>
      </c>
      <c r="H822" s="4">
        <f t="shared" si="75"/>
        <v>1.2896212009486741</v>
      </c>
      <c r="I822" s="4">
        <f t="shared" si="76"/>
        <v>-1.750499954172823</v>
      </c>
    </row>
    <row r="823" spans="1:9" x14ac:dyDescent="0.25">
      <c r="A823" s="3">
        <v>41374</v>
      </c>
      <c r="B823" s="4" t="s">
        <v>0</v>
      </c>
      <c r="C823" s="4">
        <v>393.61529869999998</v>
      </c>
      <c r="D823" s="6">
        <f t="shared" si="72"/>
        <v>1.6112654827674912E-2</v>
      </c>
      <c r="E823" s="4">
        <f t="shared" si="73"/>
        <v>-8.6330692723364001E-3</v>
      </c>
      <c r="F823" s="6">
        <f t="shared" si="74"/>
        <v>2.4745724100011312E-2</v>
      </c>
      <c r="G823" s="4">
        <f t="shared" si="77"/>
        <v>4.479420435691317E-2</v>
      </c>
      <c r="H823" s="4">
        <f t="shared" si="75"/>
        <v>0.55243137935526831</v>
      </c>
      <c r="I823" s="4">
        <f t="shared" si="76"/>
        <v>-1.0715287476528548</v>
      </c>
    </row>
    <row r="824" spans="1:9" x14ac:dyDescent="0.25">
      <c r="A824" s="3">
        <v>41375</v>
      </c>
      <c r="B824" s="4" t="s">
        <v>0</v>
      </c>
      <c r="C824" s="4">
        <v>393.71991359999998</v>
      </c>
      <c r="D824" s="6">
        <f t="shared" si="72"/>
        <v>2.6577955771921169E-4</v>
      </c>
      <c r="E824" s="4">
        <f t="shared" si="73"/>
        <v>-1.8253314744418863E-3</v>
      </c>
      <c r="F824" s="6">
        <f t="shared" si="74"/>
        <v>2.0911110321610981E-3</v>
      </c>
      <c r="G824" s="4">
        <f t="shared" si="77"/>
        <v>2.6035469412198434E-2</v>
      </c>
      <c r="H824" s="4">
        <f t="shared" si="75"/>
        <v>8.031777722361122E-2</v>
      </c>
      <c r="I824" s="4">
        <f t="shared" si="76"/>
        <v>-0.92216400587374348</v>
      </c>
    </row>
    <row r="825" spans="1:9" x14ac:dyDescent="0.25">
      <c r="A825" s="3">
        <v>41376</v>
      </c>
      <c r="B825" s="4" t="s">
        <v>0</v>
      </c>
      <c r="C825" s="4">
        <v>393.55054050000001</v>
      </c>
      <c r="D825" s="6">
        <f t="shared" si="72"/>
        <v>-4.3018677529236605E-4</v>
      </c>
      <c r="E825" s="4">
        <f t="shared" si="73"/>
        <v>7.2661904586730592E-3</v>
      </c>
      <c r="F825" s="6">
        <f t="shared" si="74"/>
        <v>-7.6963772339654251E-3</v>
      </c>
      <c r="G825" s="4">
        <f t="shared" si="77"/>
        <v>1.1453721387530452E-2</v>
      </c>
      <c r="H825" s="4">
        <f t="shared" si="75"/>
        <v>-0.6719542909734465</v>
      </c>
      <c r="I825" s="4">
        <f t="shared" si="76"/>
        <v>-1.1446998177834864</v>
      </c>
    </row>
    <row r="826" spans="1:9" x14ac:dyDescent="0.25">
      <c r="A826" s="3">
        <v>41379</v>
      </c>
      <c r="B826" s="4" t="s">
        <v>0</v>
      </c>
      <c r="C826" s="4">
        <v>389.50570349999998</v>
      </c>
      <c r="D826" s="6">
        <f t="shared" si="72"/>
        <v>-1.0277808270473025E-2</v>
      </c>
      <c r="E826" s="4">
        <f t="shared" si="73"/>
        <v>5.0361295816237668E-3</v>
      </c>
      <c r="F826" s="6">
        <f t="shared" si="74"/>
        <v>-1.5313937852096792E-2</v>
      </c>
      <c r="G826" s="4">
        <f t="shared" si="77"/>
        <v>2.4031485760795904E-2</v>
      </c>
      <c r="H826" s="4">
        <f t="shared" si="75"/>
        <v>-0.63724473819589611</v>
      </c>
      <c r="I826" s="4">
        <f t="shared" si="76"/>
        <v>-1.1219789613838507</v>
      </c>
    </row>
    <row r="827" spans="1:9" x14ac:dyDescent="0.25">
      <c r="A827" s="3">
        <v>41380</v>
      </c>
      <c r="B827" s="4" t="s">
        <v>0</v>
      </c>
      <c r="C827" s="4">
        <v>395.20435209999999</v>
      </c>
      <c r="D827" s="6">
        <f t="shared" si="72"/>
        <v>1.4630462529286205E-2</v>
      </c>
      <c r="E827" s="4">
        <f t="shared" si="73"/>
        <v>-8.3261443829340373E-5</v>
      </c>
      <c r="F827" s="6">
        <f t="shared" si="74"/>
        <v>1.4713723973115546E-2</v>
      </c>
      <c r="G827" s="4">
        <f t="shared" si="77"/>
        <v>2.4266218695175649E-2</v>
      </c>
      <c r="H827" s="4">
        <f t="shared" si="75"/>
        <v>0.60634597247904853</v>
      </c>
      <c r="I827" s="4">
        <f t="shared" si="76"/>
        <v>-1.1027662523754542</v>
      </c>
    </row>
    <row r="828" spans="1:9" x14ac:dyDescent="0.25">
      <c r="A828" s="3">
        <v>41381</v>
      </c>
      <c r="B828" s="4" t="s">
        <v>0</v>
      </c>
      <c r="C828" s="4">
        <v>389.81954660000002</v>
      </c>
      <c r="D828" s="6">
        <f t="shared" si="72"/>
        <v>-1.3625369941871069E-2</v>
      </c>
      <c r="E828" s="4">
        <f t="shared" si="73"/>
        <v>-4.0604455405956795E-3</v>
      </c>
      <c r="F828" s="6">
        <f t="shared" si="74"/>
        <v>-9.5649244012753903E-3</v>
      </c>
      <c r="G828" s="4">
        <f t="shared" si="77"/>
        <v>2.3347168856926566E-2</v>
      </c>
      <c r="H828" s="4">
        <f t="shared" si="75"/>
        <v>-0.40968240988404458</v>
      </c>
      <c r="I828" s="4">
        <f t="shared" si="76"/>
        <v>-1.0028583716888717</v>
      </c>
    </row>
    <row r="829" spans="1:9" x14ac:dyDescent="0.25">
      <c r="A829" s="3">
        <v>41382</v>
      </c>
      <c r="B829" s="4" t="s">
        <v>0</v>
      </c>
      <c r="C829" s="4">
        <v>381.52561780000002</v>
      </c>
      <c r="D829" s="6">
        <f t="shared" si="72"/>
        <v>-2.1276328681666994E-2</v>
      </c>
      <c r="E829" s="4">
        <f t="shared" si="73"/>
        <v>2.445047735296023E-3</v>
      </c>
      <c r="F829" s="6">
        <f t="shared" si="74"/>
        <v>-2.3721376416963019E-2</v>
      </c>
      <c r="G829" s="4">
        <f t="shared" si="77"/>
        <v>1.7394577129175491E-2</v>
      </c>
      <c r="H829" s="4">
        <f t="shared" si="75"/>
        <v>-1.3637225119532077</v>
      </c>
      <c r="I829" s="4">
        <f t="shared" si="76"/>
        <v>-1.848808078008656</v>
      </c>
    </row>
    <row r="830" spans="1:9" x14ac:dyDescent="0.25">
      <c r="A830" s="3">
        <v>41383</v>
      </c>
      <c r="B830" s="4" t="s">
        <v>0</v>
      </c>
      <c r="C830" s="4">
        <v>398.4422118</v>
      </c>
      <c r="D830" s="6">
        <f t="shared" si="72"/>
        <v>4.4339339773686814E-2</v>
      </c>
      <c r="E830" s="4">
        <f t="shared" si="73"/>
        <v>-7.2850977123529309E-4</v>
      </c>
      <c r="F830" s="6">
        <f t="shared" si="74"/>
        <v>4.5067849544922108E-2</v>
      </c>
      <c r="G830" s="4">
        <f t="shared" si="77"/>
        <v>4.7610052411718305E-2</v>
      </c>
      <c r="H830" s="4">
        <f t="shared" si="75"/>
        <v>0.94660365326187956</v>
      </c>
      <c r="I830" s="4">
        <f t="shared" si="76"/>
        <v>-1.3669677713890409</v>
      </c>
    </row>
    <row r="831" spans="1:9" x14ac:dyDescent="0.25">
      <c r="A831" s="3">
        <v>41386</v>
      </c>
      <c r="B831" s="4" t="s">
        <v>0</v>
      </c>
      <c r="C831" s="4">
        <v>398.56177960000002</v>
      </c>
      <c r="D831" s="6">
        <f t="shared" si="72"/>
        <v>3.0008818458232214E-4</v>
      </c>
      <c r="E831" s="4">
        <f t="shared" si="73"/>
        <v>-1.2305411166349593E-2</v>
      </c>
      <c r="F831" s="6">
        <f t="shared" si="74"/>
        <v>1.2605499350931915E-2</v>
      </c>
      <c r="G831" s="4">
        <f t="shared" si="77"/>
        <v>3.7604016504478768E-2</v>
      </c>
      <c r="H831" s="4">
        <f t="shared" si="75"/>
        <v>0.33521683380365913</v>
      </c>
      <c r="I831" s="4">
        <f t="shared" si="76"/>
        <v>-0.97512369603734761</v>
      </c>
    </row>
    <row r="832" spans="1:9" x14ac:dyDescent="0.25">
      <c r="A832" s="3">
        <v>41387</v>
      </c>
      <c r="B832" s="4" t="s">
        <v>0</v>
      </c>
      <c r="C832" s="4">
        <v>402.44224919999999</v>
      </c>
      <c r="D832" s="6">
        <f t="shared" si="72"/>
        <v>9.7361809350972935E-3</v>
      </c>
      <c r="E832" s="4">
        <f t="shared" si="73"/>
        <v>1.0434091377758175E-2</v>
      </c>
      <c r="F832" s="6">
        <f t="shared" si="74"/>
        <v>-6.9791044266088141E-4</v>
      </c>
      <c r="G832" s="4">
        <f t="shared" si="77"/>
        <v>1.9069541947128593E-2</v>
      </c>
      <c r="H832" s="4">
        <f t="shared" si="75"/>
        <v>-3.6598175488214577E-2</v>
      </c>
      <c r="I832" s="4">
        <f t="shared" si="76"/>
        <v>-0.9196082464292058</v>
      </c>
    </row>
    <row r="833" spans="1:9" x14ac:dyDescent="0.25">
      <c r="A833" s="3">
        <v>41388</v>
      </c>
      <c r="B833" s="4" t="s">
        <v>0</v>
      </c>
      <c r="C833" s="4">
        <v>405.20687170000002</v>
      </c>
      <c r="D833" s="6">
        <f t="shared" si="72"/>
        <v>6.8696129829701538E-3</v>
      </c>
      <c r="E833" s="4">
        <f t="shared" si="73"/>
        <v>1.369393309102271E-2</v>
      </c>
      <c r="F833" s="6">
        <f t="shared" si="74"/>
        <v>-6.8243201080525565E-3</v>
      </c>
      <c r="G833" s="4">
        <f t="shared" si="77"/>
        <v>8.9084683352177556E-3</v>
      </c>
      <c r="H833" s="4">
        <f t="shared" si="75"/>
        <v>-0.76604864621610014</v>
      </c>
      <c r="I833" s="4">
        <f t="shared" si="76"/>
        <v>-1.2123537973894325</v>
      </c>
    </row>
    <row r="834" spans="1:9" x14ac:dyDescent="0.25">
      <c r="A834" s="3">
        <v>41389</v>
      </c>
      <c r="B834" s="4" t="s">
        <v>0</v>
      </c>
      <c r="C834" s="4">
        <v>403.03999759999999</v>
      </c>
      <c r="D834" s="6">
        <f t="shared" si="72"/>
        <v>-5.3475749088586584E-3</v>
      </c>
      <c r="E834" s="4">
        <f t="shared" si="73"/>
        <v>3.8139796901226659E-3</v>
      </c>
      <c r="F834" s="6">
        <f t="shared" si="74"/>
        <v>-9.1615545989813252E-3</v>
      </c>
      <c r="G834" s="4">
        <f t="shared" si="77"/>
        <v>2.701604759259469E-2</v>
      </c>
      <c r="H834" s="4">
        <f t="shared" si="75"/>
        <v>-0.33911528204046321</v>
      </c>
      <c r="I834" s="4">
        <f t="shared" si="76"/>
        <v>-0.97643812046136413</v>
      </c>
    </row>
    <row r="835" spans="1:9" x14ac:dyDescent="0.25">
      <c r="A835" s="3">
        <v>41390</v>
      </c>
      <c r="B835" s="4" t="s">
        <v>0</v>
      </c>
      <c r="C835" s="4">
        <v>399.21433819999999</v>
      </c>
      <c r="D835" s="6">
        <f t="shared" si="72"/>
        <v>-9.4920092863756168E-3</v>
      </c>
      <c r="E835" s="4">
        <f t="shared" si="73"/>
        <v>5.6077302704598368E-3</v>
      </c>
      <c r="F835" s="6">
        <f t="shared" si="74"/>
        <v>-1.5099739556835454E-2</v>
      </c>
      <c r="G835" s="4">
        <f t="shared" si="77"/>
        <v>1.6341687048664542E-2</v>
      </c>
      <c r="H835" s="4">
        <f t="shared" si="75"/>
        <v>-0.92400126815972883</v>
      </c>
      <c r="I835" s="4">
        <f t="shared" si="76"/>
        <v>-1.3458277049850662</v>
      </c>
    </row>
    <row r="836" spans="1:9" x14ac:dyDescent="0.25">
      <c r="A836" s="3">
        <v>41393</v>
      </c>
      <c r="B836" s="4" t="s">
        <v>0</v>
      </c>
      <c r="C836" s="4">
        <v>408.00140160000001</v>
      </c>
      <c r="D836" s="6">
        <f t="shared" ref="D836:D899" si="78">(C836-C835)/C835</f>
        <v>2.2010891291178634E-2</v>
      </c>
      <c r="E836" s="4">
        <f t="shared" si="73"/>
        <v>5.9377580785138079E-5</v>
      </c>
      <c r="F836" s="6">
        <f t="shared" si="74"/>
        <v>2.1951513710393496E-2</v>
      </c>
      <c r="G836" s="4">
        <f t="shared" si="77"/>
        <v>3.2752047254397863E-2</v>
      </c>
      <c r="H836" s="4">
        <f t="shared" si="75"/>
        <v>0.67023333045069122</v>
      </c>
      <c r="I836" s="4">
        <f t="shared" si="76"/>
        <v>-1.1435448918281854</v>
      </c>
    </row>
    <row r="837" spans="1:9" x14ac:dyDescent="0.25">
      <c r="A837" s="3">
        <v>41394</v>
      </c>
      <c r="B837" s="4" t="s">
        <v>0</v>
      </c>
      <c r="C837" s="4">
        <v>410.74612669999999</v>
      </c>
      <c r="D837" s="6">
        <f t="shared" si="78"/>
        <v>6.7272442918979974E-3</v>
      </c>
      <c r="E837" s="4">
        <f t="shared" si="73"/>
        <v>-5.265864304228535E-3</v>
      </c>
      <c r="F837" s="6">
        <f t="shared" si="74"/>
        <v>1.1993108596126532E-2</v>
      </c>
      <c r="G837" s="4">
        <f t="shared" si="77"/>
        <v>2.6683003780664662E-2</v>
      </c>
      <c r="H837" s="4">
        <f t="shared" si="75"/>
        <v>0.4494662105777279</v>
      </c>
      <c r="I837" s="4">
        <f t="shared" si="76"/>
        <v>-1.019948470430224</v>
      </c>
    </row>
    <row r="838" spans="1:9" x14ac:dyDescent="0.25">
      <c r="A838" s="3">
        <v>41395</v>
      </c>
      <c r="B838" s="4" t="s">
        <v>0</v>
      </c>
      <c r="C838" s="4">
        <v>408.68386700000002</v>
      </c>
      <c r="D838" s="6">
        <f t="shared" si="78"/>
        <v>-5.0207648129721736E-3</v>
      </c>
      <c r="E838" s="4">
        <f t="shared" si="73"/>
        <v>5.5074919974044236E-3</v>
      </c>
      <c r="F838" s="6">
        <f t="shared" si="74"/>
        <v>-1.0528256810376597E-2</v>
      </c>
      <c r="G838" s="4">
        <f t="shared" si="77"/>
        <v>1.9164697926062568E-2</v>
      </c>
      <c r="H838" s="4">
        <f t="shared" si="75"/>
        <v>-0.54935678355039186</v>
      </c>
      <c r="I838" s="4">
        <f t="shared" si="76"/>
        <v>-1.0698349710210886</v>
      </c>
    </row>
    <row r="839" spans="1:9" x14ac:dyDescent="0.25">
      <c r="A839" s="3">
        <v>41396</v>
      </c>
      <c r="B839" s="4" t="s">
        <v>0</v>
      </c>
      <c r="C839" s="4">
        <v>413.25672040000001</v>
      </c>
      <c r="D839" s="6">
        <f t="shared" si="78"/>
        <v>1.1189219270062317E-2</v>
      </c>
      <c r="E839" s="4">
        <f t="shared" ref="E839:E902" si="79">+$M$16*D838+$M$17*D837+$M$18*D836</f>
        <v>9.3124694146417795E-3</v>
      </c>
      <c r="F839" s="6">
        <f t="shared" ref="F839:F902" si="80">D839-E839</f>
        <v>1.876749855420537E-3</v>
      </c>
      <c r="G839" s="4">
        <f t="shared" si="77"/>
        <v>2.0855858559158096E-2</v>
      </c>
      <c r="H839" s="4">
        <f t="shared" ref="H839:H902" si="81">F839/G839</f>
        <v>8.9986698466385129E-2</v>
      </c>
      <c r="I839" s="4">
        <f t="shared" ref="I839:I902" si="82">LN(_xlfn.NORM.DIST(H839,0,1,FALSE))</f>
        <v>-0.92298733615511275</v>
      </c>
    </row>
    <row r="840" spans="1:9" x14ac:dyDescent="0.25">
      <c r="A840" s="3">
        <v>41397</v>
      </c>
      <c r="B840" s="4" t="s">
        <v>0</v>
      </c>
      <c r="C840" s="4">
        <v>421.2816674</v>
      </c>
      <c r="D840" s="6">
        <f t="shared" si="78"/>
        <v>1.9418793703421155E-2</v>
      </c>
      <c r="E840" s="4">
        <f t="shared" si="79"/>
        <v>1.4112318930365993E-4</v>
      </c>
      <c r="F840" s="6">
        <f t="shared" si="80"/>
        <v>1.9277670514117495E-2</v>
      </c>
      <c r="G840" s="4">
        <f t="shared" ref="G840:G903" si="83">SQRT($M$12 + $M$13 *H839^2+$M$14*G839^2)</f>
        <v>9.8863821664120586E-3</v>
      </c>
      <c r="H840" s="4">
        <f t="shared" si="81"/>
        <v>1.949921638636563</v>
      </c>
      <c r="I840" s="4">
        <f t="shared" si="82"/>
        <v>-2.8200357316162221</v>
      </c>
    </row>
    <row r="841" spans="1:9" x14ac:dyDescent="0.25">
      <c r="A841" s="3">
        <v>41400</v>
      </c>
      <c r="B841" s="4" t="s">
        <v>0</v>
      </c>
      <c r="C841" s="4">
        <v>429.16711780000003</v>
      </c>
      <c r="D841" s="6">
        <f t="shared" si="78"/>
        <v>1.8717762984243318E-2</v>
      </c>
      <c r="E841" s="4">
        <f t="shared" si="79"/>
        <v>2.7401740318869052E-3</v>
      </c>
      <c r="F841" s="6">
        <f t="shared" si="80"/>
        <v>1.5977588952356413E-2</v>
      </c>
      <c r="G841" s="4">
        <f t="shared" si="83"/>
        <v>6.7323560987361059E-2</v>
      </c>
      <c r="H841" s="4">
        <f t="shared" si="81"/>
        <v>0.23732536897975368</v>
      </c>
      <c r="I841" s="4">
        <f t="shared" si="82"/>
        <v>-0.94710019858536076</v>
      </c>
    </row>
    <row r="842" spans="1:9" x14ac:dyDescent="0.25">
      <c r="A842" s="3">
        <v>41401</v>
      </c>
      <c r="B842" s="4" t="s">
        <v>0</v>
      </c>
      <c r="C842" s="4">
        <v>427.01516679999997</v>
      </c>
      <c r="D842" s="6">
        <f t="shared" si="78"/>
        <v>-5.0142494863805089E-3</v>
      </c>
      <c r="E842" s="4">
        <f t="shared" si="79"/>
        <v>1.0850498767480387E-2</v>
      </c>
      <c r="F842" s="6">
        <f t="shared" si="80"/>
        <v>-1.5864748253860896E-2</v>
      </c>
      <c r="G842" s="4">
        <f t="shared" si="83"/>
        <v>2.7419625982570282E-2</v>
      </c>
      <c r="H842" s="4">
        <f t="shared" si="81"/>
        <v>-0.57859097946651694</v>
      </c>
      <c r="I842" s="4">
        <f t="shared" si="82"/>
        <v>-1.0863222939646844</v>
      </c>
    </row>
    <row r="843" spans="1:9" x14ac:dyDescent="0.25">
      <c r="A843" s="3">
        <v>41402</v>
      </c>
      <c r="B843" s="4" t="s">
        <v>0</v>
      </c>
      <c r="C843" s="4">
        <v>435.18458429999998</v>
      </c>
      <c r="D843" s="6">
        <f t="shared" si="78"/>
        <v>1.9131445754539903E-2</v>
      </c>
      <c r="E843" s="4">
        <f t="shared" si="79"/>
        <v>1.3102360024384618E-2</v>
      </c>
      <c r="F843" s="6">
        <f t="shared" si="80"/>
        <v>6.0290857301552852E-3</v>
      </c>
      <c r="G843" s="4">
        <f t="shared" si="83"/>
        <v>2.302117193979783E-2</v>
      </c>
      <c r="H843" s="4">
        <f t="shared" si="81"/>
        <v>0.26189308458847432</v>
      </c>
      <c r="I843" s="4">
        <f t="shared" si="82"/>
        <v>-0.95323252708230544</v>
      </c>
    </row>
    <row r="844" spans="1:9" x14ac:dyDescent="0.25">
      <c r="A844" s="3">
        <v>41403</v>
      </c>
      <c r="B844" s="4" t="s">
        <v>0</v>
      </c>
      <c r="C844" s="4">
        <v>434.1135678</v>
      </c>
      <c r="D844" s="6">
        <f t="shared" si="78"/>
        <v>-2.4610625896198243E-3</v>
      </c>
      <c r="E844" s="4">
        <f t="shared" si="79"/>
        <v>3.8158955829206481E-3</v>
      </c>
      <c r="F844" s="6">
        <f t="shared" si="80"/>
        <v>-6.2769581725404724E-3</v>
      </c>
      <c r="G844" s="4">
        <f t="shared" si="83"/>
        <v>1.3530444472314563E-2</v>
      </c>
      <c r="H844" s="4">
        <f t="shared" si="81"/>
        <v>-0.46391367152676505</v>
      </c>
      <c r="I844" s="4">
        <f t="shared" si="82"/>
        <v>-1.0265464805193942</v>
      </c>
    </row>
    <row r="845" spans="1:9" x14ac:dyDescent="0.25">
      <c r="A845" s="3">
        <v>41404</v>
      </c>
      <c r="B845" s="4" t="s">
        <v>0</v>
      </c>
      <c r="C845" s="4">
        <v>438.47224840000001</v>
      </c>
      <c r="D845" s="6">
        <f t="shared" si="78"/>
        <v>1.0040415511749444E-2</v>
      </c>
      <c r="E845" s="4">
        <f t="shared" si="79"/>
        <v>5.7778798883217162E-3</v>
      </c>
      <c r="F845" s="6">
        <f t="shared" si="80"/>
        <v>4.2625356234277274E-3</v>
      </c>
      <c r="G845" s="4">
        <f t="shared" si="83"/>
        <v>1.7487309926795112E-2</v>
      </c>
      <c r="H845" s="4">
        <f t="shared" si="81"/>
        <v>0.24375021894570606</v>
      </c>
      <c r="I845" s="4">
        <f t="shared" si="82"/>
        <v>-0.94864561782271239</v>
      </c>
    </row>
    <row r="846" spans="1:9" x14ac:dyDescent="0.25">
      <c r="A846" s="3">
        <v>41407</v>
      </c>
      <c r="B846" s="4" t="s">
        <v>0</v>
      </c>
      <c r="C846" s="4">
        <v>437.12730599999998</v>
      </c>
      <c r="D846" s="6">
        <f t="shared" si="78"/>
        <v>-3.0673375679025898E-3</v>
      </c>
      <c r="E846" s="4">
        <f t="shared" si="79"/>
        <v>4.9184353128649168E-3</v>
      </c>
      <c r="F846" s="6">
        <f t="shared" si="80"/>
        <v>-7.9857728807675062E-3</v>
      </c>
      <c r="G846" s="4">
        <f t="shared" si="83"/>
        <v>1.1813749033777205E-2</v>
      </c>
      <c r="H846" s="4">
        <f t="shared" si="81"/>
        <v>-0.67597278881877676</v>
      </c>
      <c r="I846" s="4">
        <f t="shared" si="82"/>
        <v>-1.1474081388163899</v>
      </c>
    </row>
    <row r="847" spans="1:9" x14ac:dyDescent="0.25">
      <c r="A847" s="3">
        <v>41408</v>
      </c>
      <c r="B847" s="4" t="s">
        <v>0</v>
      </c>
      <c r="C847" s="4">
        <v>441.89443469999998</v>
      </c>
      <c r="D847" s="6">
        <f t="shared" si="78"/>
        <v>1.0905584333365807E-2</v>
      </c>
      <c r="E847" s="4">
        <f t="shared" si="79"/>
        <v>3.0844749729316868E-3</v>
      </c>
      <c r="F847" s="6">
        <f t="shared" si="80"/>
        <v>7.8211093604341198E-3</v>
      </c>
      <c r="G847" s="4">
        <f t="shared" si="83"/>
        <v>2.4189551723492388E-2</v>
      </c>
      <c r="H847" s="4">
        <f t="shared" si="81"/>
        <v>0.32332593219734707</v>
      </c>
      <c r="I847" s="4">
        <f t="shared" si="82"/>
        <v>-0.9712083624203145</v>
      </c>
    </row>
    <row r="848" spans="1:9" x14ac:dyDescent="0.25">
      <c r="A848" s="3">
        <v>41409</v>
      </c>
      <c r="B848" s="4" t="s">
        <v>0</v>
      </c>
      <c r="C848" s="4">
        <v>456.23570660000001</v>
      </c>
      <c r="D848" s="6">
        <f t="shared" si="78"/>
        <v>3.2454067699984178E-2</v>
      </c>
      <c r="E848" s="4">
        <f t="shared" si="79"/>
        <v>1.9025381699191561E-3</v>
      </c>
      <c r="F848" s="6">
        <f t="shared" si="80"/>
        <v>3.0551529530065021E-2</v>
      </c>
      <c r="G848" s="4">
        <f t="shared" si="83"/>
        <v>1.5283937190715155E-2</v>
      </c>
      <c r="H848" s="4">
        <f t="shared" si="81"/>
        <v>1.9989305863298614</v>
      </c>
      <c r="I848" s="4">
        <f t="shared" si="82"/>
        <v>-2.9168002776871944</v>
      </c>
    </row>
    <row r="849" spans="1:9" x14ac:dyDescent="0.25">
      <c r="A849" s="3">
        <v>41410</v>
      </c>
      <c r="B849" s="4" t="s">
        <v>0</v>
      </c>
      <c r="C849" s="4">
        <v>450.24814739999999</v>
      </c>
      <c r="D849" s="6">
        <f t="shared" si="78"/>
        <v>-1.3123828567958956E-2</v>
      </c>
      <c r="E849" s="4">
        <f t="shared" si="79"/>
        <v>3.2302484126368711E-3</v>
      </c>
      <c r="F849" s="6">
        <f t="shared" si="80"/>
        <v>-1.6354076980595829E-2</v>
      </c>
      <c r="G849" s="4">
        <f t="shared" si="83"/>
        <v>6.9144575223560836E-2</v>
      </c>
      <c r="H849" s="4">
        <f t="shared" si="81"/>
        <v>-0.23652002962950042</v>
      </c>
      <c r="I849" s="4">
        <f t="shared" si="82"/>
        <v>-0.94690939541264263</v>
      </c>
    </row>
    <row r="850" spans="1:9" x14ac:dyDescent="0.25">
      <c r="A850" s="3">
        <v>41411</v>
      </c>
      <c r="B850" s="4" t="s">
        <v>0</v>
      </c>
      <c r="C850" s="4">
        <v>452.89323250000001</v>
      </c>
      <c r="D850" s="6">
        <f t="shared" si="78"/>
        <v>5.8747273370791378E-3</v>
      </c>
      <c r="E850" s="4">
        <f t="shared" si="79"/>
        <v>1.5746112444001252E-2</v>
      </c>
      <c r="F850" s="6">
        <f t="shared" si="80"/>
        <v>-9.8713851069221134E-3</v>
      </c>
      <c r="G850" s="4">
        <f t="shared" si="83"/>
        <v>2.8064190119792217E-2</v>
      </c>
      <c r="H850" s="4">
        <f t="shared" si="81"/>
        <v>-0.35174309555294586</v>
      </c>
      <c r="I850" s="4">
        <f t="shared" si="82"/>
        <v>-0.98080013583925707</v>
      </c>
    </row>
    <row r="851" spans="1:9" x14ac:dyDescent="0.25">
      <c r="A851" s="3">
        <v>41414</v>
      </c>
      <c r="B851" s="4" t="s">
        <v>0</v>
      </c>
      <c r="C851" s="4">
        <v>452.56944060000001</v>
      </c>
      <c r="D851" s="6">
        <f t="shared" si="78"/>
        <v>-7.1494091049374058E-4</v>
      </c>
      <c r="E851" s="4">
        <f t="shared" si="79"/>
        <v>4.9222806090268006E-3</v>
      </c>
      <c r="F851" s="6">
        <f t="shared" si="80"/>
        <v>-5.6372215195205407E-3</v>
      </c>
      <c r="G851" s="4">
        <f t="shared" si="83"/>
        <v>1.6904842698504927E-2</v>
      </c>
      <c r="H851" s="4">
        <f t="shared" si="81"/>
        <v>-0.33346784824085346</v>
      </c>
      <c r="I851" s="4">
        <f t="shared" si="82"/>
        <v>-0.97453893610986519</v>
      </c>
    </row>
    <row r="852" spans="1:9" x14ac:dyDescent="0.25">
      <c r="A852" s="3">
        <v>41415</v>
      </c>
      <c r="B852" s="4" t="s">
        <v>0</v>
      </c>
      <c r="C852" s="4">
        <v>451.7923394</v>
      </c>
      <c r="D852" s="6">
        <f t="shared" si="78"/>
        <v>-1.7170872142178929E-3</v>
      </c>
      <c r="E852" s="4">
        <f t="shared" si="79"/>
        <v>-1.773429661596616E-3</v>
      </c>
      <c r="F852" s="6">
        <f t="shared" si="80"/>
        <v>5.6342447378723067E-5</v>
      </c>
      <c r="G852" s="4">
        <f t="shared" si="83"/>
        <v>1.4065806993549226E-2</v>
      </c>
      <c r="H852" s="4">
        <f t="shared" si="81"/>
        <v>4.0056320554208158E-3</v>
      </c>
      <c r="I852" s="4">
        <f t="shared" si="82"/>
        <v>-0.9189465557487545</v>
      </c>
    </row>
    <row r="853" spans="1:9" x14ac:dyDescent="0.25">
      <c r="A853" s="3">
        <v>41416</v>
      </c>
      <c r="B853" s="4" t="s">
        <v>0</v>
      </c>
      <c r="C853" s="4">
        <v>443.0501064</v>
      </c>
      <c r="D853" s="6">
        <f t="shared" si="78"/>
        <v>-1.9350113398580567E-2</v>
      </c>
      <c r="E853" s="4">
        <f t="shared" si="79"/>
        <v>1.5258068489936976E-3</v>
      </c>
      <c r="F853" s="6">
        <f t="shared" si="80"/>
        <v>-2.0875920247574266E-2</v>
      </c>
      <c r="G853" s="4">
        <f t="shared" si="83"/>
        <v>7.3236446859924519E-3</v>
      </c>
      <c r="H853" s="4">
        <f t="shared" si="81"/>
        <v>-2.8504823953983642</v>
      </c>
      <c r="I853" s="4">
        <f t="shared" si="82"/>
        <v>-4.9815634764426715</v>
      </c>
    </row>
    <row r="854" spans="1:9" x14ac:dyDescent="0.25">
      <c r="A854" s="3">
        <v>41417</v>
      </c>
      <c r="B854" s="4" t="s">
        <v>0</v>
      </c>
      <c r="C854" s="4">
        <v>439.74748849999997</v>
      </c>
      <c r="D854" s="6">
        <f t="shared" si="78"/>
        <v>-7.4542762822819844E-3</v>
      </c>
      <c r="E854" s="4">
        <f t="shared" si="79"/>
        <v>-8.7574599649177087E-4</v>
      </c>
      <c r="F854" s="6">
        <f t="shared" si="80"/>
        <v>-6.5785302857902135E-3</v>
      </c>
      <c r="G854" s="4">
        <f t="shared" si="83"/>
        <v>9.8158144143879952E-2</v>
      </c>
      <c r="H854" s="4">
        <f t="shared" si="81"/>
        <v>-6.7019709298368771E-2</v>
      </c>
      <c r="I854" s="4">
        <f t="shared" si="82"/>
        <v>-0.92118435392189169</v>
      </c>
    </row>
    <row r="855" spans="1:9" x14ac:dyDescent="0.25">
      <c r="A855" s="3">
        <v>41418</v>
      </c>
      <c r="B855" s="4" t="s">
        <v>0</v>
      </c>
      <c r="C855" s="4">
        <v>435.03013429999999</v>
      </c>
      <c r="D855" s="6">
        <f t="shared" si="78"/>
        <v>-1.0727415899727165E-2</v>
      </c>
      <c r="E855" s="4">
        <f t="shared" si="79"/>
        <v>-7.9231570473797166E-3</v>
      </c>
      <c r="F855" s="6">
        <f t="shared" si="80"/>
        <v>-2.8042588523474483E-3</v>
      </c>
      <c r="G855" s="4">
        <f t="shared" si="83"/>
        <v>3.7870108185564279E-2</v>
      </c>
      <c r="H855" s="4">
        <f t="shared" si="81"/>
        <v>-7.4049401670745821E-2</v>
      </c>
      <c r="I855" s="4">
        <f t="shared" si="82"/>
        <v>-0.92168019014857039</v>
      </c>
    </row>
    <row r="856" spans="1:9" x14ac:dyDescent="0.25">
      <c r="A856" s="3">
        <v>41422</v>
      </c>
      <c r="B856" s="4" t="s">
        <v>0</v>
      </c>
      <c r="C856" s="4">
        <v>438.99031550000001</v>
      </c>
      <c r="D856" s="6">
        <f t="shared" si="78"/>
        <v>9.1032342078377782E-3</v>
      </c>
      <c r="E856" s="4">
        <f t="shared" si="79"/>
        <v>-8.7758444850578529E-3</v>
      </c>
      <c r="F856" s="6">
        <f t="shared" si="80"/>
        <v>1.7879078692895629E-2</v>
      </c>
      <c r="G856" s="4">
        <f t="shared" si="83"/>
        <v>1.5500159539483915E-2</v>
      </c>
      <c r="H856" s="4">
        <f t="shared" si="81"/>
        <v>1.1534770753392465</v>
      </c>
      <c r="I856" s="4">
        <f t="shared" si="82"/>
        <v>-1.5841932148712636</v>
      </c>
    </row>
    <row r="857" spans="1:9" x14ac:dyDescent="0.25">
      <c r="A857" s="3">
        <v>41423</v>
      </c>
      <c r="B857" s="4" t="s">
        <v>0</v>
      </c>
      <c r="C857" s="4">
        <v>432.534494</v>
      </c>
      <c r="D857" s="6">
        <f t="shared" si="78"/>
        <v>-1.4706068156986513E-2</v>
      </c>
      <c r="E857" s="4">
        <f t="shared" si="79"/>
        <v>-6.3835746881628422E-3</v>
      </c>
      <c r="F857" s="6">
        <f t="shared" si="80"/>
        <v>-8.3224934688236711E-3</v>
      </c>
      <c r="G857" s="4">
        <f t="shared" si="83"/>
        <v>4.0400402040422591E-2</v>
      </c>
      <c r="H857" s="4">
        <f t="shared" si="81"/>
        <v>-0.20600026357402598</v>
      </c>
      <c r="I857" s="4">
        <f t="shared" si="82"/>
        <v>-0.94015658750095676</v>
      </c>
    </row>
    <row r="858" spans="1:9" x14ac:dyDescent="0.25">
      <c r="A858" s="3">
        <v>41424</v>
      </c>
      <c r="B858" s="4" t="s">
        <v>0</v>
      </c>
      <c r="C858" s="4">
        <v>433.75492459999998</v>
      </c>
      <c r="D858" s="6">
        <f t="shared" si="78"/>
        <v>2.8215798206373478E-3</v>
      </c>
      <c r="E858" s="4">
        <f t="shared" si="79"/>
        <v>1.9438827403693527E-4</v>
      </c>
      <c r="F858" s="6">
        <f t="shared" si="80"/>
        <v>2.6271915466004126E-3</v>
      </c>
      <c r="G858" s="4">
        <f t="shared" si="83"/>
        <v>1.7685755716483235E-2</v>
      </c>
      <c r="H858" s="4">
        <f t="shared" si="81"/>
        <v>0.14854844705063147</v>
      </c>
      <c r="I858" s="4">
        <f t="shared" si="82"/>
        <v>-0.92997185376524982</v>
      </c>
    </row>
    <row r="859" spans="1:9" x14ac:dyDescent="0.25">
      <c r="A859" s="3">
        <v>41425</v>
      </c>
      <c r="B859" s="4" t="s">
        <v>0</v>
      </c>
      <c r="C859" s="4">
        <v>433.98408160000002</v>
      </c>
      <c r="D859" s="6">
        <f t="shared" si="78"/>
        <v>5.2830985195468922E-4</v>
      </c>
      <c r="E859" s="4">
        <f t="shared" si="79"/>
        <v>-2.8338821777671459E-3</v>
      </c>
      <c r="F859" s="6">
        <f t="shared" si="80"/>
        <v>3.3621920297218352E-3</v>
      </c>
      <c r="G859" s="4">
        <f t="shared" si="83"/>
        <v>9.820616339781929E-3</v>
      </c>
      <c r="H859" s="4">
        <f t="shared" si="81"/>
        <v>0.34236059259356977</v>
      </c>
      <c r="I859" s="4">
        <f t="shared" si="82"/>
        <v>-0.97754392088518283</v>
      </c>
    </row>
    <row r="860" spans="1:9" x14ac:dyDescent="0.25">
      <c r="A860" s="3">
        <v>41428</v>
      </c>
      <c r="B860" s="4" t="s">
        <v>0</v>
      </c>
      <c r="C860" s="4">
        <v>432.19577909999998</v>
      </c>
      <c r="D860" s="6">
        <f t="shared" si="78"/>
        <v>-4.120663811923656E-3</v>
      </c>
      <c r="E860" s="4">
        <f t="shared" si="79"/>
        <v>-3.4251240132854646E-3</v>
      </c>
      <c r="F860" s="6">
        <f t="shared" si="80"/>
        <v>-6.955397986381914E-4</v>
      </c>
      <c r="G860" s="4">
        <f t="shared" si="83"/>
        <v>1.3317648214549916E-2</v>
      </c>
      <c r="H860" s="4">
        <f t="shared" si="81"/>
        <v>-5.222692381063903E-2</v>
      </c>
      <c r="I860" s="4">
        <f t="shared" si="82"/>
        <v>-0.92030235899003376</v>
      </c>
    </row>
    <row r="861" spans="1:9" x14ac:dyDescent="0.25">
      <c r="A861" s="3">
        <v>41429</v>
      </c>
      <c r="B861" s="4" t="s">
        <v>0</v>
      </c>
      <c r="C861" s="4">
        <v>427.94668730000001</v>
      </c>
      <c r="D861" s="6">
        <f t="shared" si="78"/>
        <v>-9.8314051304439817E-3</v>
      </c>
      <c r="E861" s="4">
        <f t="shared" si="79"/>
        <v>1.0659945245509214E-3</v>
      </c>
      <c r="F861" s="6">
        <f t="shared" si="80"/>
        <v>-1.0897399654994902E-2</v>
      </c>
      <c r="G861" s="4">
        <f t="shared" si="83"/>
        <v>7.3385884846789238E-3</v>
      </c>
      <c r="H861" s="4">
        <f t="shared" si="81"/>
        <v>-1.4849449151898702</v>
      </c>
      <c r="I861" s="4">
        <f t="shared" si="82"/>
        <v>-2.0214692337787978</v>
      </c>
    </row>
    <row r="862" spans="1:9" x14ac:dyDescent="0.25">
      <c r="A862" s="3">
        <v>41430</v>
      </c>
      <c r="B862" s="4" t="s">
        <v>0</v>
      </c>
      <c r="C862" s="4">
        <v>428.2455769</v>
      </c>
      <c r="D862" s="6">
        <f t="shared" si="78"/>
        <v>6.9842718467047569E-4</v>
      </c>
      <c r="E862" s="4">
        <f t="shared" si="79"/>
        <v>-1.4136447050623804E-3</v>
      </c>
      <c r="F862" s="6">
        <f t="shared" si="80"/>
        <v>2.1120718897328561E-3</v>
      </c>
      <c r="G862" s="4">
        <f t="shared" si="83"/>
        <v>5.1367062205226216E-2</v>
      </c>
      <c r="H862" s="4">
        <f t="shared" si="81"/>
        <v>4.1117241264344066E-2</v>
      </c>
      <c r="I862" s="4">
        <f t="shared" si="82"/>
        <v>-0.91978384696926774</v>
      </c>
    </row>
    <row r="863" spans="1:9" x14ac:dyDescent="0.25">
      <c r="A863" s="3">
        <v>41431</v>
      </c>
      <c r="B863" s="4" t="s">
        <v>0</v>
      </c>
      <c r="C863" s="4">
        <v>430.7063354</v>
      </c>
      <c r="D863" s="6">
        <f t="shared" si="78"/>
        <v>5.7461387407968748E-3</v>
      </c>
      <c r="E863" s="4">
        <f t="shared" si="79"/>
        <v>-5.0202902965731516E-3</v>
      </c>
      <c r="F863" s="6">
        <f t="shared" si="80"/>
        <v>1.0766429037370026E-2</v>
      </c>
      <c r="G863" s="4">
        <f t="shared" si="83"/>
        <v>2.0280206021440223E-2</v>
      </c>
      <c r="H863" s="4">
        <f t="shared" si="81"/>
        <v>0.53088361262147743</v>
      </c>
      <c r="I863" s="4">
        <f t="shared" si="82"/>
        <v>-1.059857238279688</v>
      </c>
    </row>
    <row r="864" spans="1:9" x14ac:dyDescent="0.25">
      <c r="A864" s="3">
        <v>41432</v>
      </c>
      <c r="B864" s="4" t="s">
        <v>0</v>
      </c>
      <c r="C864" s="4">
        <v>438.22319390000001</v>
      </c>
      <c r="D864" s="6">
        <f t="shared" si="78"/>
        <v>1.7452398263468897E-2</v>
      </c>
      <c r="E864" s="4">
        <f t="shared" si="79"/>
        <v>-2.7437804484550456E-3</v>
      </c>
      <c r="F864" s="6">
        <f t="shared" si="80"/>
        <v>2.0196178711923942E-2</v>
      </c>
      <c r="G864" s="4">
        <f t="shared" si="83"/>
        <v>2.0440045848034265E-2</v>
      </c>
      <c r="H864" s="4">
        <f t="shared" si="81"/>
        <v>0.98806914926104361</v>
      </c>
      <c r="I864" s="4">
        <f t="shared" si="82"/>
        <v>-1.4070788550653939</v>
      </c>
    </row>
    <row r="865" spans="1:9" x14ac:dyDescent="0.25">
      <c r="A865" s="3">
        <v>41435</v>
      </c>
      <c r="B865" s="4" t="s">
        <v>0</v>
      </c>
      <c r="C865" s="4">
        <v>443.4486058</v>
      </c>
      <c r="D865" s="6">
        <f t="shared" si="78"/>
        <v>1.1924087936779522E-2</v>
      </c>
      <c r="E865" s="4">
        <f t="shared" si="79"/>
        <v>2.4108733405635505E-3</v>
      </c>
      <c r="F865" s="6">
        <f t="shared" si="80"/>
        <v>9.5132145962159714E-3</v>
      </c>
      <c r="G865" s="4">
        <f t="shared" si="83"/>
        <v>3.5205637149904309E-2</v>
      </c>
      <c r="H865" s="4">
        <f t="shared" si="81"/>
        <v>0.2702185038069061</v>
      </c>
      <c r="I865" s="4">
        <f t="shared" si="82"/>
        <v>-0.95544755310449414</v>
      </c>
    </row>
    <row r="866" spans="1:9" x14ac:dyDescent="0.25">
      <c r="A866" s="3">
        <v>41436</v>
      </c>
      <c r="B866" s="4" t="s">
        <v>0</v>
      </c>
      <c r="C866" s="4">
        <v>438.26305000000002</v>
      </c>
      <c r="D866" s="6">
        <f t="shared" si="78"/>
        <v>-1.1693701890538168E-2</v>
      </c>
      <c r="E866" s="4">
        <f t="shared" si="79"/>
        <v>8.4316953306588227E-3</v>
      </c>
      <c r="F866" s="6">
        <f t="shared" si="80"/>
        <v>-2.0125397221196991E-2</v>
      </c>
      <c r="G866" s="4">
        <f t="shared" si="83"/>
        <v>1.7079047839658874E-2</v>
      </c>
      <c r="H866" s="4">
        <f t="shared" si="81"/>
        <v>-1.1783676356046182</v>
      </c>
      <c r="I866" s="4">
        <f t="shared" si="82"/>
        <v>-1.6132136755248818</v>
      </c>
    </row>
    <row r="867" spans="1:9" x14ac:dyDescent="0.25">
      <c r="A867" s="3">
        <v>41437</v>
      </c>
      <c r="B867" s="4" t="s">
        <v>0</v>
      </c>
      <c r="C867" s="4">
        <v>434.36265259999999</v>
      </c>
      <c r="D867" s="6">
        <f t="shared" si="78"/>
        <v>-8.8996720120485418E-3</v>
      </c>
      <c r="E867" s="4">
        <f t="shared" si="79"/>
        <v>9.9029327018452379E-3</v>
      </c>
      <c r="F867" s="6">
        <f t="shared" si="80"/>
        <v>-1.8802604713893778E-2</v>
      </c>
      <c r="G867" s="4">
        <f t="shared" si="83"/>
        <v>4.1331357480907473E-2</v>
      </c>
      <c r="H867" s="4">
        <f t="shared" si="81"/>
        <v>-0.45492347360183893</v>
      </c>
      <c r="I867" s="4">
        <f t="shared" si="82"/>
        <v>-1.0224162166216542</v>
      </c>
    </row>
    <row r="868" spans="1:9" x14ac:dyDescent="0.25">
      <c r="A868" s="3">
        <v>41438</v>
      </c>
      <c r="B868" s="4" t="s">
        <v>0</v>
      </c>
      <c r="C868" s="4">
        <v>436.8632672</v>
      </c>
      <c r="D868" s="6">
        <f t="shared" si="78"/>
        <v>5.7569742357725115E-3</v>
      </c>
      <c r="E868" s="4">
        <f t="shared" si="79"/>
        <v>-8.1865889157423663E-4</v>
      </c>
      <c r="F868" s="6">
        <f t="shared" si="80"/>
        <v>6.5756331273467486E-3</v>
      </c>
      <c r="G868" s="4">
        <f t="shared" si="83"/>
        <v>2.2766262622846416E-2</v>
      </c>
      <c r="H868" s="4">
        <f t="shared" si="81"/>
        <v>0.28883234970451255</v>
      </c>
      <c r="I868" s="4">
        <f t="shared" si="82"/>
        <v>-0.96065059632258754</v>
      </c>
    </row>
    <row r="869" spans="1:9" x14ac:dyDescent="0.25">
      <c r="A869" s="3">
        <v>41439</v>
      </c>
      <c r="B869" s="4" t="s">
        <v>0</v>
      </c>
      <c r="C869" s="4">
        <v>435.88694720000001</v>
      </c>
      <c r="D869" s="6">
        <f t="shared" si="78"/>
        <v>-2.2348411352081446E-3</v>
      </c>
      <c r="E869" s="4">
        <f t="shared" si="79"/>
        <v>-6.9832665818344427E-3</v>
      </c>
      <c r="F869" s="6">
        <f t="shared" si="80"/>
        <v>4.7484254466262981E-3</v>
      </c>
      <c r="G869" s="4">
        <f t="shared" si="83"/>
        <v>1.4103383964278574E-2</v>
      </c>
      <c r="H869" s="4">
        <f t="shared" si="81"/>
        <v>0.33668695815509497</v>
      </c>
      <c r="I869" s="4">
        <f t="shared" si="82"/>
        <v>-0.97561758710053803</v>
      </c>
    </row>
    <row r="870" spans="1:9" x14ac:dyDescent="0.25">
      <c r="A870" s="3">
        <v>41442</v>
      </c>
      <c r="B870" s="4" t="s">
        <v>0</v>
      </c>
      <c r="C870" s="4">
        <v>441.47103270000002</v>
      </c>
      <c r="D870" s="6">
        <f t="shared" si="78"/>
        <v>1.2810857347003426E-2</v>
      </c>
      <c r="E870" s="4">
        <f t="shared" si="79"/>
        <v>-5.2481733360633257E-4</v>
      </c>
      <c r="F870" s="6">
        <f t="shared" si="80"/>
        <v>1.3335674680609758E-2</v>
      </c>
      <c r="G870" s="4">
        <f t="shared" si="83"/>
        <v>1.3701739282034147E-2</v>
      </c>
      <c r="H870" s="4">
        <f t="shared" si="81"/>
        <v>0.97328334791011706</v>
      </c>
      <c r="I870" s="4">
        <f t="shared" si="82"/>
        <v>-1.3925787708642356</v>
      </c>
    </row>
    <row r="871" spans="1:9" x14ac:dyDescent="0.25">
      <c r="A871" s="3">
        <v>41443</v>
      </c>
      <c r="B871" s="4" t="s">
        <v>0</v>
      </c>
      <c r="C871" s="4">
        <v>448.62918719999999</v>
      </c>
      <c r="D871" s="6">
        <f t="shared" si="78"/>
        <v>1.6214324315281324E-2</v>
      </c>
      <c r="E871" s="4">
        <f t="shared" si="79"/>
        <v>9.090089940063888E-4</v>
      </c>
      <c r="F871" s="6">
        <f t="shared" si="80"/>
        <v>1.5305315321274935E-2</v>
      </c>
      <c r="G871" s="4">
        <f t="shared" si="83"/>
        <v>3.4229221620876243E-2</v>
      </c>
      <c r="H871" s="4">
        <f t="shared" si="81"/>
        <v>0.44714178694441287</v>
      </c>
      <c r="I871" s="4">
        <f t="shared" si="82"/>
        <v>-1.0189064220205941</v>
      </c>
    </row>
    <row r="872" spans="1:9" x14ac:dyDescent="0.25">
      <c r="A872" s="3">
        <v>41444</v>
      </c>
      <c r="B872" s="4" t="s">
        <v>0</v>
      </c>
      <c r="C872" s="4">
        <v>448.6590946</v>
      </c>
      <c r="D872" s="6">
        <f t="shared" si="78"/>
        <v>6.6663964033798911E-5</v>
      </c>
      <c r="E872" s="4">
        <f t="shared" si="79"/>
        <v>4.213223765831658E-3</v>
      </c>
      <c r="F872" s="6">
        <f t="shared" si="80"/>
        <v>-4.1465598017978592E-3</v>
      </c>
      <c r="G872" s="4">
        <f t="shared" si="83"/>
        <v>2.077993199105263E-2</v>
      </c>
      <c r="H872" s="4">
        <f t="shared" si="81"/>
        <v>-0.19954636057438851</v>
      </c>
      <c r="I872" s="4">
        <f t="shared" si="82"/>
        <v>-0.93884790821391462</v>
      </c>
    </row>
    <row r="873" spans="1:9" x14ac:dyDescent="0.25">
      <c r="A873" s="3">
        <v>41445</v>
      </c>
      <c r="B873" s="4" t="s">
        <v>0</v>
      </c>
      <c r="C873" s="4">
        <v>440.71883409999998</v>
      </c>
      <c r="D873" s="6">
        <f t="shared" si="78"/>
        <v>-1.7697758934495968E-2</v>
      </c>
      <c r="E873" s="4">
        <f t="shared" si="79"/>
        <v>1.0121753941926982E-2</v>
      </c>
      <c r="F873" s="6">
        <f t="shared" si="80"/>
        <v>-2.7819512876422949E-2</v>
      </c>
      <c r="G873" s="4">
        <f t="shared" si="83"/>
        <v>1.1608958872271667E-2</v>
      </c>
      <c r="H873" s="4">
        <f t="shared" si="81"/>
        <v>-2.3963831022668756</v>
      </c>
      <c r="I873" s="4">
        <f t="shared" si="82"/>
        <v>-3.7902645196197802</v>
      </c>
    </row>
    <row r="874" spans="1:9" x14ac:dyDescent="0.25">
      <c r="A874" s="3">
        <v>41446</v>
      </c>
      <c r="B874" s="4" t="s">
        <v>0</v>
      </c>
      <c r="C874" s="4">
        <v>438.82094289999998</v>
      </c>
      <c r="D874" s="6">
        <f t="shared" si="78"/>
        <v>-4.3063537411005409E-3</v>
      </c>
      <c r="E874" s="4">
        <f t="shared" si="79"/>
        <v>4.9908029799616595E-3</v>
      </c>
      <c r="F874" s="6">
        <f t="shared" si="80"/>
        <v>-9.2971567210622004E-3</v>
      </c>
      <c r="G874" s="4">
        <f t="shared" si="83"/>
        <v>8.2650409459138652E-2</v>
      </c>
      <c r="H874" s="4">
        <f t="shared" si="81"/>
        <v>-0.11248772730712968</v>
      </c>
      <c r="I874" s="4">
        <f t="shared" si="82"/>
        <v>-0.92526527760203414</v>
      </c>
    </row>
    <row r="875" spans="1:9" x14ac:dyDescent="0.25">
      <c r="A875" s="3">
        <v>41449</v>
      </c>
      <c r="B875" s="4" t="s">
        <v>0</v>
      </c>
      <c r="C875" s="4">
        <v>433.27173920000001</v>
      </c>
      <c r="D875" s="6">
        <f t="shared" si="78"/>
        <v>-1.2645712994752249E-2</v>
      </c>
      <c r="E875" s="4">
        <f t="shared" si="79"/>
        <v>-6.7451555731793634E-3</v>
      </c>
      <c r="F875" s="6">
        <f t="shared" si="80"/>
        <v>-5.9005574215728858E-3</v>
      </c>
      <c r="G875" s="4">
        <f t="shared" si="83"/>
        <v>3.2174392347291844E-2</v>
      </c>
      <c r="H875" s="4">
        <f t="shared" si="81"/>
        <v>-0.18339297158690684</v>
      </c>
      <c r="I875" s="4">
        <f t="shared" si="82"/>
        <v>-0.93575502421841061</v>
      </c>
    </row>
    <row r="876" spans="1:9" x14ac:dyDescent="0.25">
      <c r="A876" s="3">
        <v>41450</v>
      </c>
      <c r="B876" s="4" t="s">
        <v>0</v>
      </c>
      <c r="C876" s="4">
        <v>431.48343620000003</v>
      </c>
      <c r="D876" s="6">
        <f t="shared" si="78"/>
        <v>-4.1274397524794408E-3</v>
      </c>
      <c r="E876" s="4">
        <f t="shared" si="79"/>
        <v>-7.0664602765320179E-3</v>
      </c>
      <c r="F876" s="6">
        <f t="shared" si="80"/>
        <v>2.939020524052577E-3</v>
      </c>
      <c r="G876" s="4">
        <f t="shared" si="83"/>
        <v>1.4676008507627347E-2</v>
      </c>
      <c r="H876" s="4">
        <f t="shared" si="81"/>
        <v>0.20026020852503068</v>
      </c>
      <c r="I876" s="4">
        <f t="shared" si="82"/>
        <v>-0.93899060876391705</v>
      </c>
    </row>
    <row r="877" spans="1:9" x14ac:dyDescent="0.25">
      <c r="A877" s="3">
        <v>41451</v>
      </c>
      <c r="B877" s="4" t="s">
        <v>0</v>
      </c>
      <c r="C877" s="4">
        <v>435.19453299999998</v>
      </c>
      <c r="D877" s="6">
        <f t="shared" si="78"/>
        <v>8.6007862380139966E-3</v>
      </c>
      <c r="E877" s="4">
        <f t="shared" si="79"/>
        <v>-6.1531061735385154E-3</v>
      </c>
      <c r="F877" s="6">
        <f t="shared" si="80"/>
        <v>1.4753892411552512E-2</v>
      </c>
      <c r="G877" s="4">
        <f t="shared" si="83"/>
        <v>1.0176818604894595E-2</v>
      </c>
      <c r="H877" s="4">
        <f t="shared" si="81"/>
        <v>1.4497548776644744</v>
      </c>
      <c r="I877" s="4">
        <f t="shared" si="82"/>
        <v>-1.9698331358606402</v>
      </c>
    </row>
    <row r="878" spans="1:9" x14ac:dyDescent="0.25">
      <c r="A878" s="3">
        <v>41452</v>
      </c>
      <c r="B878" s="4" t="s">
        <v>0</v>
      </c>
      <c r="C878" s="4">
        <v>436.89814899999999</v>
      </c>
      <c r="D878" s="6">
        <f t="shared" si="78"/>
        <v>3.9146079989934319E-3</v>
      </c>
      <c r="E878" s="4">
        <f t="shared" si="79"/>
        <v>-5.4504399992665519E-3</v>
      </c>
      <c r="F878" s="6">
        <f t="shared" si="80"/>
        <v>9.365047998259983E-3</v>
      </c>
      <c r="G878" s="4">
        <f t="shared" si="83"/>
        <v>5.0237160916977129E-2</v>
      </c>
      <c r="H878" s="4">
        <f t="shared" si="81"/>
        <v>0.18641674464321015</v>
      </c>
      <c r="I878" s="4">
        <f t="shared" si="82"/>
        <v>-0.93631413454635859</v>
      </c>
    </row>
    <row r="879" spans="1:9" x14ac:dyDescent="0.25">
      <c r="A879" s="3">
        <v>41453</v>
      </c>
      <c r="B879" s="4" t="s">
        <v>0</v>
      </c>
      <c r="C879" s="4">
        <v>438.54198100000002</v>
      </c>
      <c r="D879" s="6">
        <f t="shared" si="78"/>
        <v>3.7625062128611394E-3</v>
      </c>
      <c r="E879" s="4">
        <f t="shared" si="79"/>
        <v>2.0239425686180905E-3</v>
      </c>
      <c r="F879" s="6">
        <f t="shared" si="80"/>
        <v>1.7385636442430489E-3</v>
      </c>
      <c r="G879" s="4">
        <f t="shared" si="83"/>
        <v>2.0823742669292284E-2</v>
      </c>
      <c r="H879" s="4">
        <f t="shared" si="81"/>
        <v>8.3489489466599121E-2</v>
      </c>
      <c r="I879" s="4">
        <f t="shared" si="82"/>
        <v>-0.92242378063036934</v>
      </c>
    </row>
    <row r="880" spans="1:9" x14ac:dyDescent="0.25">
      <c r="A880" s="3">
        <v>41456</v>
      </c>
      <c r="B880" s="4" t="s">
        <v>0</v>
      </c>
      <c r="C880" s="4">
        <v>442.28298480000001</v>
      </c>
      <c r="D880" s="6">
        <f t="shared" si="78"/>
        <v>8.530548868934824E-3</v>
      </c>
      <c r="E880" s="4">
        <f t="shared" si="79"/>
        <v>4.130558343597975E-3</v>
      </c>
      <c r="F880" s="6">
        <f t="shared" si="80"/>
        <v>4.399990525336849E-3</v>
      </c>
      <c r="G880" s="4">
        <f t="shared" si="83"/>
        <v>9.8088465247480276E-3</v>
      </c>
      <c r="H880" s="4">
        <f t="shared" si="81"/>
        <v>0.44857369459655982</v>
      </c>
      <c r="I880" s="4">
        <f t="shared" si="82"/>
        <v>-1.0195477129466766</v>
      </c>
    </row>
    <row r="881" spans="1:9" x14ac:dyDescent="0.25">
      <c r="A881" s="3">
        <v>41457</v>
      </c>
      <c r="B881" s="4" t="s">
        <v>0</v>
      </c>
      <c r="C881" s="4">
        <v>439.50838320000003</v>
      </c>
      <c r="D881" s="6">
        <f t="shared" si="78"/>
        <v>-6.273362745923077E-3</v>
      </c>
      <c r="E881" s="4">
        <f t="shared" si="79"/>
        <v>2.637355901277315E-3</v>
      </c>
      <c r="F881" s="6">
        <f t="shared" si="80"/>
        <v>-8.910718647200392E-3</v>
      </c>
      <c r="G881" s="4">
        <f t="shared" si="83"/>
        <v>1.6631483412421093E-2</v>
      </c>
      <c r="H881" s="4">
        <f t="shared" si="81"/>
        <v>-0.53577413548965158</v>
      </c>
      <c r="I881" s="4">
        <f t="shared" si="82"/>
        <v>-1.0624654953345145</v>
      </c>
    </row>
    <row r="882" spans="1:9" x14ac:dyDescent="0.25">
      <c r="A882" s="3">
        <v>41458</v>
      </c>
      <c r="B882" s="4" t="s">
        <v>0</v>
      </c>
      <c r="C882" s="4">
        <v>441.56069359999998</v>
      </c>
      <c r="D882" s="6">
        <f t="shared" si="78"/>
        <v>4.6695591675802953E-3</v>
      </c>
      <c r="E882" s="4">
        <f t="shared" si="79"/>
        <v>4.413201926720834E-3</v>
      </c>
      <c r="F882" s="6">
        <f t="shared" si="80"/>
        <v>2.5635724085946131E-4</v>
      </c>
      <c r="G882" s="4">
        <f t="shared" si="83"/>
        <v>2.0108063197505428E-2</v>
      </c>
      <c r="H882" s="4">
        <f t="shared" si="81"/>
        <v>1.2748977280480427E-2</v>
      </c>
      <c r="I882" s="4">
        <f t="shared" si="82"/>
        <v>-0.91901980141552175</v>
      </c>
    </row>
    <row r="883" spans="1:9" x14ac:dyDescent="0.25">
      <c r="A883" s="3">
        <v>41460</v>
      </c>
      <c r="B883" s="4" t="s">
        <v>0</v>
      </c>
      <c r="C883" s="4">
        <v>445.07751469999999</v>
      </c>
      <c r="D883" s="6">
        <f t="shared" si="78"/>
        <v>7.9645248115898324E-3</v>
      </c>
      <c r="E883" s="4">
        <f t="shared" si="79"/>
        <v>2.1441665374347888E-4</v>
      </c>
      <c r="F883" s="6">
        <f t="shared" si="80"/>
        <v>7.7501081578463535E-3</v>
      </c>
      <c r="G883" s="4">
        <f t="shared" si="83"/>
        <v>9.1596390471718418E-3</v>
      </c>
      <c r="H883" s="4">
        <f t="shared" si="81"/>
        <v>0.84611501806278067</v>
      </c>
      <c r="I883" s="4">
        <f t="shared" si="82"/>
        <v>-1.2768938451003624</v>
      </c>
    </row>
    <row r="884" spans="1:9" x14ac:dyDescent="0.25">
      <c r="A884" s="3">
        <v>41463</v>
      </c>
      <c r="B884" s="4" t="s">
        <v>0</v>
      </c>
      <c r="C884" s="4">
        <v>450.85584510000001</v>
      </c>
      <c r="D884" s="6">
        <f t="shared" si="78"/>
        <v>1.2982750665116932E-2</v>
      </c>
      <c r="E884" s="4">
        <f t="shared" si="79"/>
        <v>-1.3599650344995359E-4</v>
      </c>
      <c r="F884" s="6">
        <f t="shared" si="80"/>
        <v>1.3118747168566884E-2</v>
      </c>
      <c r="G884" s="4">
        <f t="shared" si="83"/>
        <v>2.9716577707986466E-2</v>
      </c>
      <c r="H884" s="4">
        <f t="shared" si="81"/>
        <v>0.44146224701511178</v>
      </c>
      <c r="I884" s="4">
        <f t="shared" si="82"/>
        <v>-1.0163829909744886</v>
      </c>
    </row>
    <row r="885" spans="1:9" x14ac:dyDescent="0.25">
      <c r="A885" s="3">
        <v>41464</v>
      </c>
      <c r="B885" s="4" t="s">
        <v>0</v>
      </c>
      <c r="C885" s="4">
        <v>450.93058300000001</v>
      </c>
      <c r="D885" s="6">
        <f t="shared" si="78"/>
        <v>1.6576894990332321E-4</v>
      </c>
      <c r="E885" s="4">
        <f t="shared" si="79"/>
        <v>4.4749947920090334E-3</v>
      </c>
      <c r="F885" s="6">
        <f t="shared" si="80"/>
        <v>-4.3092258421057105E-3</v>
      </c>
      <c r="G885" s="4">
        <f t="shared" si="83"/>
        <v>1.959057132788064E-2</v>
      </c>
      <c r="H885" s="4">
        <f t="shared" si="81"/>
        <v>-0.21996427618080569</v>
      </c>
      <c r="I885" s="4">
        <f t="shared" si="82"/>
        <v>-0.94313067460254552</v>
      </c>
    </row>
    <row r="886" spans="1:9" x14ac:dyDescent="0.25">
      <c r="A886" s="3">
        <v>41465</v>
      </c>
      <c r="B886" s="4" t="s">
        <v>0</v>
      </c>
      <c r="C886" s="4">
        <v>451.3041796</v>
      </c>
      <c r="D886" s="6">
        <f t="shared" si="78"/>
        <v>8.2850135715896835E-4</v>
      </c>
      <c r="E886" s="4">
        <f t="shared" si="79"/>
        <v>7.4021924190279522E-3</v>
      </c>
      <c r="F886" s="6">
        <f t="shared" si="80"/>
        <v>-6.5736910618689835E-3</v>
      </c>
      <c r="G886" s="4">
        <f t="shared" si="83"/>
        <v>1.1742816311457736E-2</v>
      </c>
      <c r="H886" s="4">
        <f t="shared" si="81"/>
        <v>-0.55980532161223384</v>
      </c>
      <c r="I886" s="4">
        <f t="shared" si="82"/>
        <v>-1.0756295322573608</v>
      </c>
    </row>
    <row r="887" spans="1:9" x14ac:dyDescent="0.25">
      <c r="A887" s="3">
        <v>41466</v>
      </c>
      <c r="B887" s="4" t="s">
        <v>0</v>
      </c>
      <c r="C887" s="4">
        <v>458.40258060000002</v>
      </c>
      <c r="D887" s="6">
        <f t="shared" si="78"/>
        <v>1.5728640063319334E-2</v>
      </c>
      <c r="E887" s="4">
        <f t="shared" si="79"/>
        <v>4.0393827051782849E-3</v>
      </c>
      <c r="F887" s="6">
        <f t="shared" si="80"/>
        <v>1.168925735814105E-2</v>
      </c>
      <c r="G887" s="4">
        <f t="shared" si="83"/>
        <v>2.0377316293795706E-2</v>
      </c>
      <c r="H887" s="4">
        <f t="shared" si="81"/>
        <v>0.57364066934074553</v>
      </c>
      <c r="I887" s="4">
        <f t="shared" si="82"/>
        <v>-1.0834703419655218</v>
      </c>
    </row>
    <row r="888" spans="1:9" x14ac:dyDescent="0.25">
      <c r="A888" s="3">
        <v>41467</v>
      </c>
      <c r="B888" s="4" t="s">
        <v>0</v>
      </c>
      <c r="C888" s="4">
        <v>459.77743029999999</v>
      </c>
      <c r="D888" s="6">
        <f t="shared" si="78"/>
        <v>2.999218935897871E-3</v>
      </c>
      <c r="E888" s="4">
        <f t="shared" si="79"/>
        <v>3.6780053288655346E-4</v>
      </c>
      <c r="F888" s="6">
        <f t="shared" si="80"/>
        <v>2.6314184030113174E-3</v>
      </c>
      <c r="G888" s="4">
        <f t="shared" si="83"/>
        <v>2.1775737796419441E-2</v>
      </c>
      <c r="H888" s="4">
        <f t="shared" si="81"/>
        <v>0.12084175643610102</v>
      </c>
      <c r="I888" s="4">
        <f t="shared" si="82"/>
        <v>-0.92623989825395359</v>
      </c>
    </row>
    <row r="889" spans="1:9" x14ac:dyDescent="0.25">
      <c r="A889" s="3">
        <v>41470</v>
      </c>
      <c r="B889" s="4" t="s">
        <v>0</v>
      </c>
      <c r="C889" s="4">
        <v>460.61928979999999</v>
      </c>
      <c r="D889" s="6">
        <f t="shared" si="78"/>
        <v>1.8310152793944096E-3</v>
      </c>
      <c r="E889" s="4">
        <f t="shared" si="79"/>
        <v>6.2665225694525182E-3</v>
      </c>
      <c r="F889" s="6">
        <f t="shared" si="80"/>
        <v>-4.4355072900581086E-3</v>
      </c>
      <c r="G889" s="4">
        <f t="shared" si="83"/>
        <v>1.054243789861316E-2</v>
      </c>
      <c r="H889" s="4">
        <f t="shared" si="81"/>
        <v>-0.42072880416412911</v>
      </c>
      <c r="I889" s="4">
        <f t="shared" si="82"/>
        <v>-1.0074448965313616</v>
      </c>
    </row>
    <row r="890" spans="1:9" x14ac:dyDescent="0.25">
      <c r="A890" s="3">
        <v>41471</v>
      </c>
      <c r="B890" s="4" t="s">
        <v>0</v>
      </c>
      <c r="C890" s="4">
        <v>458.08876780000003</v>
      </c>
      <c r="D890" s="6">
        <f t="shared" si="78"/>
        <v>-5.4937386601822732E-3</v>
      </c>
      <c r="E890" s="4">
        <f t="shared" si="79"/>
        <v>5.9635065007069277E-3</v>
      </c>
      <c r="F890" s="6">
        <f t="shared" si="80"/>
        <v>-1.1457245160889201E-2</v>
      </c>
      <c r="G890" s="4">
        <f t="shared" si="83"/>
        <v>1.5816940673440236E-2</v>
      </c>
      <c r="H890" s="4">
        <f t="shared" si="81"/>
        <v>-0.72436543813609777</v>
      </c>
      <c r="I890" s="4">
        <f t="shared" si="82"/>
        <v>-1.1812911771877233</v>
      </c>
    </row>
    <row r="891" spans="1:9" x14ac:dyDescent="0.25">
      <c r="A891" s="3">
        <v>41472</v>
      </c>
      <c r="B891" s="4" t="s">
        <v>0</v>
      </c>
      <c r="C891" s="4">
        <v>457.56075149999998</v>
      </c>
      <c r="D891" s="6">
        <f t="shared" si="78"/>
        <v>-1.152650615154522E-3</v>
      </c>
      <c r="E891" s="4">
        <f t="shared" si="79"/>
        <v>1.6183666459347104E-3</v>
      </c>
      <c r="F891" s="6">
        <f t="shared" si="80"/>
        <v>-2.7710172610892325E-3</v>
      </c>
      <c r="G891" s="4">
        <f t="shared" si="83"/>
        <v>2.6102470999021823E-2</v>
      </c>
      <c r="H891" s="4">
        <f t="shared" si="81"/>
        <v>-0.10615919317343844</v>
      </c>
      <c r="I891" s="4">
        <f t="shared" si="82"/>
        <v>-0.9245734203522904</v>
      </c>
    </row>
    <row r="892" spans="1:9" x14ac:dyDescent="0.25">
      <c r="A892" s="3">
        <v>41473</v>
      </c>
      <c r="B892" s="4" t="s">
        <v>0</v>
      </c>
      <c r="C892" s="4">
        <v>453.6404263</v>
      </c>
      <c r="D892" s="6">
        <f t="shared" si="78"/>
        <v>-8.5678791005307179E-3</v>
      </c>
      <c r="E892" s="4">
        <f t="shared" si="79"/>
        <v>-1.5394126880325153E-3</v>
      </c>
      <c r="F892" s="6">
        <f t="shared" si="80"/>
        <v>-7.0284664124982028E-3</v>
      </c>
      <c r="G892" s="4">
        <f t="shared" si="83"/>
        <v>1.1721419939906084E-2</v>
      </c>
      <c r="H892" s="4">
        <f t="shared" si="81"/>
        <v>-0.59962585152072601</v>
      </c>
      <c r="I892" s="4">
        <f t="shared" si="82"/>
        <v>-1.0987141141106505</v>
      </c>
    </row>
    <row r="893" spans="1:9" x14ac:dyDescent="0.25">
      <c r="A893" s="3">
        <v>41474</v>
      </c>
      <c r="B893" s="4" t="s">
        <v>0</v>
      </c>
      <c r="C893" s="4">
        <v>446.62671189999998</v>
      </c>
      <c r="D893" s="6">
        <f t="shared" si="78"/>
        <v>-1.5460955402951101E-2</v>
      </c>
      <c r="E893" s="4">
        <f t="shared" si="79"/>
        <v>-2.1232753511686965E-3</v>
      </c>
      <c r="F893" s="6">
        <f t="shared" si="80"/>
        <v>-1.3337680051782406E-2</v>
      </c>
      <c r="G893" s="4">
        <f t="shared" si="83"/>
        <v>2.1673130172945924E-2</v>
      </c>
      <c r="H893" s="4">
        <f t="shared" si="81"/>
        <v>-0.61540164920116291</v>
      </c>
      <c r="I893" s="4">
        <f t="shared" si="82"/>
        <v>-1.1082981281244284</v>
      </c>
    </row>
    <row r="894" spans="1:9" x14ac:dyDescent="0.25">
      <c r="A894" s="3">
        <v>41477</v>
      </c>
      <c r="B894" s="4" t="s">
        <v>0</v>
      </c>
      <c r="C894" s="4">
        <v>453.650375</v>
      </c>
      <c r="D894" s="6">
        <f t="shared" si="78"/>
        <v>1.5726025588842577E-2</v>
      </c>
      <c r="E894" s="4">
        <f t="shared" si="79"/>
        <v>-3.6286331377174078E-3</v>
      </c>
      <c r="F894" s="6">
        <f t="shared" si="80"/>
        <v>1.9354658726559983E-2</v>
      </c>
      <c r="G894" s="4">
        <f t="shared" si="83"/>
        <v>2.3255238685303836E-2</v>
      </c>
      <c r="H894" s="4">
        <f t="shared" si="81"/>
        <v>0.83227091273809084</v>
      </c>
      <c r="I894" s="4">
        <f t="shared" si="82"/>
        <v>-1.2652759692996201</v>
      </c>
    </row>
    <row r="895" spans="1:9" x14ac:dyDescent="0.25">
      <c r="A895" s="3">
        <v>41478</v>
      </c>
      <c r="B895" s="4" t="s">
        <v>0</v>
      </c>
      <c r="C895" s="4">
        <v>450.21326570000002</v>
      </c>
      <c r="D895" s="6">
        <f t="shared" si="78"/>
        <v>-7.5765600326021436E-3</v>
      </c>
      <c r="E895" s="4">
        <f t="shared" si="79"/>
        <v>-8.5340193338773462E-3</v>
      </c>
      <c r="F895" s="6">
        <f t="shared" si="80"/>
        <v>9.5745930127520262E-4</v>
      </c>
      <c r="G895" s="4">
        <f t="shared" si="83"/>
        <v>3.0367699710190744E-2</v>
      </c>
      <c r="H895" s="4">
        <f t="shared" si="81"/>
        <v>3.1528871478991208E-2</v>
      </c>
      <c r="I895" s="4">
        <f t="shared" si="82"/>
        <v>-0.91943556807304205</v>
      </c>
    </row>
    <row r="896" spans="1:9" x14ac:dyDescent="0.25">
      <c r="A896" s="3">
        <v>41479</v>
      </c>
      <c r="B896" s="4" t="s">
        <v>0</v>
      </c>
      <c r="C896" s="4">
        <v>449.76493110000001</v>
      </c>
      <c r="D896" s="6">
        <f t="shared" si="78"/>
        <v>-9.9582716493911089E-4</v>
      </c>
      <c r="E896" s="4">
        <f t="shared" si="79"/>
        <v>1.2766294260798247E-3</v>
      </c>
      <c r="F896" s="6">
        <f t="shared" si="80"/>
        <v>-2.2724565910189356E-3</v>
      </c>
      <c r="G896" s="4">
        <f t="shared" si="83"/>
        <v>1.2662804135948898E-2</v>
      </c>
      <c r="H896" s="4">
        <f t="shared" si="81"/>
        <v>-0.17945919139407482</v>
      </c>
      <c r="I896" s="4">
        <f t="shared" si="82"/>
        <v>-0.93504133389258026</v>
      </c>
    </row>
    <row r="897" spans="1:9" x14ac:dyDescent="0.25">
      <c r="A897" s="3">
        <v>41480</v>
      </c>
      <c r="B897" s="4" t="s">
        <v>0</v>
      </c>
      <c r="C897" s="4">
        <v>442.19332439999999</v>
      </c>
      <c r="D897" s="6">
        <f t="shared" si="78"/>
        <v>-1.6834586639474031E-2</v>
      </c>
      <c r="E897" s="4">
        <f t="shared" si="79"/>
        <v>1.9197487693430985E-3</v>
      </c>
      <c r="F897" s="6">
        <f t="shared" si="80"/>
        <v>-1.875433540881713E-2</v>
      </c>
      <c r="G897" s="4">
        <f t="shared" si="83"/>
        <v>9.285079437577266E-3</v>
      </c>
      <c r="H897" s="4">
        <f t="shared" si="81"/>
        <v>-2.0198357520687678</v>
      </c>
      <c r="I897" s="4">
        <f t="shared" si="82"/>
        <v>-2.958806765872275</v>
      </c>
    </row>
    <row r="898" spans="1:9" x14ac:dyDescent="0.25">
      <c r="A898" s="3">
        <v>41481</v>
      </c>
      <c r="B898" s="4" t="s">
        <v>0</v>
      </c>
      <c r="C898" s="4">
        <v>441.02269819999998</v>
      </c>
      <c r="D898" s="6">
        <f t="shared" si="78"/>
        <v>-2.6473176671954644E-3</v>
      </c>
      <c r="E898" s="4">
        <f t="shared" si="79"/>
        <v>-2.7013589934454978E-3</v>
      </c>
      <c r="F898" s="6">
        <f t="shared" si="80"/>
        <v>5.4041326250033397E-5</v>
      </c>
      <c r="G898" s="4">
        <f t="shared" si="83"/>
        <v>6.9704957995614977E-2</v>
      </c>
      <c r="H898" s="4">
        <f t="shared" si="81"/>
        <v>7.7528669127715491E-4</v>
      </c>
      <c r="I898" s="4">
        <f t="shared" si="82"/>
        <v>-0.91893883373939955</v>
      </c>
    </row>
    <row r="899" spans="1:9" x14ac:dyDescent="0.25">
      <c r="A899" s="3">
        <v>41484</v>
      </c>
      <c r="B899" s="4" t="s">
        <v>0</v>
      </c>
      <c r="C899" s="4">
        <v>439.48845490000002</v>
      </c>
      <c r="D899" s="6">
        <f t="shared" si="78"/>
        <v>-3.4788306957030846E-3</v>
      </c>
      <c r="E899" s="4">
        <f t="shared" si="79"/>
        <v>-6.7405398215709443E-3</v>
      </c>
      <c r="F899" s="6">
        <f t="shared" si="80"/>
        <v>3.2617091258678598E-3</v>
      </c>
      <c r="G899" s="4">
        <f t="shared" si="83"/>
        <v>2.7070761962026953E-2</v>
      </c>
      <c r="H899" s="4">
        <f t="shared" si="81"/>
        <v>0.12048826443981024</v>
      </c>
      <c r="I899" s="4">
        <f t="shared" si="82"/>
        <v>-0.92619724413853155</v>
      </c>
    </row>
    <row r="900" spans="1:9" x14ac:dyDescent="0.25">
      <c r="A900" s="3">
        <v>41485</v>
      </c>
      <c r="B900" s="4" t="s">
        <v>0</v>
      </c>
      <c r="C900" s="4">
        <v>443.79730030000002</v>
      </c>
      <c r="D900" s="6">
        <f t="shared" ref="D900:D963" si="84">(C900-C899)/C899</f>
        <v>9.804228875546727E-3</v>
      </c>
      <c r="E900" s="4">
        <f t="shared" si="79"/>
        <v>-6.1677135011454958E-3</v>
      </c>
      <c r="F900" s="6">
        <f t="shared" si="80"/>
        <v>1.5971942376692222E-2</v>
      </c>
      <c r="G900" s="4">
        <f t="shared" si="83"/>
        <v>1.2195599825655426E-2</v>
      </c>
      <c r="H900" s="4">
        <f t="shared" si="81"/>
        <v>1.3096479554119713</v>
      </c>
      <c r="I900" s="4">
        <f t="shared" si="82"/>
        <v>-1.7765274167620511</v>
      </c>
    </row>
    <row r="901" spans="1:9" x14ac:dyDescent="0.25">
      <c r="A901" s="3">
        <v>41486</v>
      </c>
      <c r="B901" s="4" t="s">
        <v>0</v>
      </c>
      <c r="C901" s="4">
        <v>442.21822650000001</v>
      </c>
      <c r="D901" s="6">
        <f t="shared" si="84"/>
        <v>-3.5580969035471244E-3</v>
      </c>
      <c r="E901" s="4">
        <f t="shared" si="79"/>
        <v>-2.1404354810018521E-3</v>
      </c>
      <c r="F901" s="6">
        <f t="shared" si="80"/>
        <v>-1.4176614225452724E-3</v>
      </c>
      <c r="G901" s="4">
        <f t="shared" si="83"/>
        <v>4.5535223675752488E-2</v>
      </c>
      <c r="H901" s="4">
        <f t="shared" si="81"/>
        <v>-3.113329216608586E-2</v>
      </c>
      <c r="I901" s="4">
        <f t="shared" si="82"/>
        <v>-0.91942317414522201</v>
      </c>
    </row>
    <row r="902" spans="1:9" x14ac:dyDescent="0.25">
      <c r="A902" s="3">
        <v>41487</v>
      </c>
      <c r="B902" s="4" t="s">
        <v>0</v>
      </c>
      <c r="C902" s="4">
        <v>450.4224949</v>
      </c>
      <c r="D902" s="6">
        <f t="shared" si="84"/>
        <v>1.8552533361037279E-2</v>
      </c>
      <c r="E902" s="4">
        <f t="shared" si="79"/>
        <v>2.6824821813561297E-3</v>
      </c>
      <c r="F902" s="6">
        <f t="shared" si="80"/>
        <v>1.5870051179681148E-2</v>
      </c>
      <c r="G902" s="4">
        <f t="shared" si="83"/>
        <v>1.8113064552949639E-2</v>
      </c>
      <c r="H902" s="4">
        <f t="shared" si="81"/>
        <v>0.87616599241329229</v>
      </c>
      <c r="I902" s="4">
        <f t="shared" si="82"/>
        <v>-1.3027719563354576</v>
      </c>
    </row>
    <row r="903" spans="1:9" x14ac:dyDescent="0.25">
      <c r="A903" s="3">
        <v>41488</v>
      </c>
      <c r="B903" s="4" t="s">
        <v>0</v>
      </c>
      <c r="C903" s="4">
        <v>451.59309020000001</v>
      </c>
      <c r="D903" s="6">
        <f t="shared" si="84"/>
        <v>2.5988828561057781E-3</v>
      </c>
      <c r="E903" s="4">
        <f t="shared" ref="E903:E966" si="85">+$M$16*D902+$M$17*D901+$M$18*D900</f>
        <v>1.6427513354863308E-3</v>
      </c>
      <c r="F903" s="6">
        <f t="shared" ref="F903:F966" si="86">D903-E903</f>
        <v>9.5613152061944733E-4</v>
      </c>
      <c r="G903" s="4">
        <f t="shared" si="83"/>
        <v>3.1302138982346711E-2</v>
      </c>
      <c r="H903" s="4">
        <f t="shared" ref="H903:H966" si="87">F903/G903</f>
        <v>3.0545245523274669E-2</v>
      </c>
      <c r="I903" s="4">
        <f t="shared" ref="I903:I966" si="88">LN(_xlfn.NORM.DIST(H903,0,1,FALSE))</f>
        <v>-0.91940503921671124</v>
      </c>
    </row>
    <row r="904" spans="1:9" x14ac:dyDescent="0.25">
      <c r="A904" s="3">
        <v>41491</v>
      </c>
      <c r="B904" s="4" t="s">
        <v>0</v>
      </c>
      <c r="C904" s="4">
        <v>450.81101460000002</v>
      </c>
      <c r="D904" s="6">
        <f t="shared" si="84"/>
        <v>-1.7318148062310291E-3</v>
      </c>
      <c r="E904" s="4">
        <f t="shared" si="85"/>
        <v>6.0026248609939253E-3</v>
      </c>
      <c r="F904" s="6">
        <f t="shared" si="86"/>
        <v>-7.7344396672249542E-3</v>
      </c>
      <c r="G904" s="4">
        <f t="shared" ref="G904:G967" si="89">SQRT($M$12 + $M$13 *H903^2+$M$14*G903^2)</f>
        <v>1.2987379641219434E-2</v>
      </c>
      <c r="H904" s="4">
        <f t="shared" si="87"/>
        <v>-0.59553504100837529</v>
      </c>
      <c r="I904" s="4">
        <f t="shared" si="88"/>
        <v>-1.0962695257390962</v>
      </c>
    </row>
    <row r="905" spans="1:9" x14ac:dyDescent="0.25">
      <c r="A905" s="3">
        <v>41492</v>
      </c>
      <c r="B905" s="4" t="s">
        <v>0</v>
      </c>
      <c r="C905" s="4">
        <v>446.61175800000001</v>
      </c>
      <c r="D905" s="6">
        <f t="shared" si="84"/>
        <v>-9.3148935230120099E-3</v>
      </c>
      <c r="E905" s="4">
        <f t="shared" si="85"/>
        <v>6.6752186496250067E-3</v>
      </c>
      <c r="F905" s="6">
        <f t="shared" si="86"/>
        <v>-1.5990112172637017E-2</v>
      </c>
      <c r="G905" s="4">
        <f t="shared" si="89"/>
        <v>2.1644972414560176E-2</v>
      </c>
      <c r="H905" s="4">
        <f t="shared" si="87"/>
        <v>-0.73874486261210304</v>
      </c>
      <c r="I905" s="4">
        <f t="shared" si="88"/>
        <v>-1.1918105192225601</v>
      </c>
    </row>
    <row r="906" spans="1:9" x14ac:dyDescent="0.25">
      <c r="A906" s="3">
        <v>41493</v>
      </c>
      <c r="B906" s="4" t="s">
        <v>0</v>
      </c>
      <c r="C906" s="4">
        <v>443.66280890000002</v>
      </c>
      <c r="D906" s="6">
        <f t="shared" si="84"/>
        <v>-6.6029365487506779E-3</v>
      </c>
      <c r="E906" s="4">
        <f t="shared" si="85"/>
        <v>1.3369051606789296E-4</v>
      </c>
      <c r="F906" s="6">
        <f t="shared" si="86"/>
        <v>-6.7366270648185709E-3</v>
      </c>
      <c r="G906" s="4">
        <f t="shared" si="89"/>
        <v>2.7166491321260741E-2</v>
      </c>
      <c r="H906" s="4">
        <f t="shared" si="87"/>
        <v>-0.24797560292765616</v>
      </c>
      <c r="I906" s="4">
        <f t="shared" si="88"/>
        <v>-0.94968448302833997</v>
      </c>
    </row>
    <row r="907" spans="1:9" x14ac:dyDescent="0.25">
      <c r="A907" s="3">
        <v>41494</v>
      </c>
      <c r="B907" s="4" t="s">
        <v>0</v>
      </c>
      <c r="C907" s="4">
        <v>444.66406189999998</v>
      </c>
      <c r="D907" s="6">
        <f t="shared" si="84"/>
        <v>2.2567882182471634E-3</v>
      </c>
      <c r="E907" s="4">
        <f t="shared" si="85"/>
        <v>-4.0913943794764381E-3</v>
      </c>
      <c r="F907" s="6">
        <f t="shared" si="86"/>
        <v>6.3481825977236015E-3</v>
      </c>
      <c r="G907" s="4">
        <f t="shared" si="89"/>
        <v>1.4317950257680789E-2</v>
      </c>
      <c r="H907" s="4">
        <f t="shared" si="87"/>
        <v>0.44337230423874063</v>
      </c>
      <c r="I907" s="4">
        <f t="shared" si="88"/>
        <v>-1.017228033287658</v>
      </c>
    </row>
    <row r="908" spans="1:9" x14ac:dyDescent="0.25">
      <c r="A908" s="3">
        <v>41495</v>
      </c>
      <c r="B908" s="4" t="s">
        <v>0</v>
      </c>
      <c r="C908" s="4">
        <v>443.54324100000002</v>
      </c>
      <c r="D908" s="6">
        <f t="shared" si="84"/>
        <v>-2.5206014968037057E-3</v>
      </c>
      <c r="E908" s="4">
        <f t="shared" si="85"/>
        <v>-5.3768270262118962E-3</v>
      </c>
      <c r="F908" s="6">
        <f t="shared" si="86"/>
        <v>2.8562255294081905E-3</v>
      </c>
      <c r="G908" s="4">
        <f t="shared" si="89"/>
        <v>1.6940388486835302E-2</v>
      </c>
      <c r="H908" s="4">
        <f t="shared" si="87"/>
        <v>0.16860448812185255</v>
      </c>
      <c r="I908" s="4">
        <f t="shared" si="88"/>
        <v>-0.93315226991208866</v>
      </c>
    </row>
    <row r="909" spans="1:9" x14ac:dyDescent="0.25">
      <c r="A909" s="3">
        <v>41498</v>
      </c>
      <c r="B909" s="4" t="s">
        <v>0</v>
      </c>
      <c r="C909" s="4">
        <v>441.1024104</v>
      </c>
      <c r="D909" s="6">
        <f t="shared" si="84"/>
        <v>-5.5030273812695218E-3</v>
      </c>
      <c r="E909" s="4">
        <f t="shared" si="85"/>
        <v>-1.1594911034482358E-3</v>
      </c>
      <c r="F909" s="6">
        <f t="shared" si="86"/>
        <v>-4.3435362778212862E-3</v>
      </c>
      <c r="G909" s="4">
        <f t="shared" si="89"/>
        <v>1.0010031209155241E-2</v>
      </c>
      <c r="H909" s="4">
        <f t="shared" si="87"/>
        <v>-0.43391835520439331</v>
      </c>
      <c r="I909" s="4">
        <f t="shared" si="88"/>
        <v>-1.0130811026963156</v>
      </c>
    </row>
    <row r="910" spans="1:9" x14ac:dyDescent="0.25">
      <c r="A910" s="3">
        <v>41499</v>
      </c>
      <c r="B910" s="4" t="s">
        <v>0</v>
      </c>
      <c r="C910" s="4">
        <v>438.9803364</v>
      </c>
      <c r="D910" s="6">
        <f t="shared" si="84"/>
        <v>-4.8108419948910755E-3</v>
      </c>
      <c r="E910" s="4">
        <f t="shared" si="85"/>
        <v>-2.7253724429832083E-4</v>
      </c>
      <c r="F910" s="6">
        <f t="shared" si="86"/>
        <v>-4.5383047505927546E-3</v>
      </c>
      <c r="G910" s="4">
        <f t="shared" si="89"/>
        <v>1.6183411242809254E-2</v>
      </c>
      <c r="H910" s="4">
        <f t="shared" si="87"/>
        <v>-0.28042942754786954</v>
      </c>
      <c r="I910" s="4">
        <f t="shared" si="88"/>
        <v>-0.95825886512208569</v>
      </c>
    </row>
    <row r="911" spans="1:9" x14ac:dyDescent="0.25">
      <c r="A911" s="3">
        <v>41500</v>
      </c>
      <c r="B911" s="4" t="s">
        <v>0</v>
      </c>
      <c r="C911" s="4">
        <v>433.28168790000001</v>
      </c>
      <c r="D911" s="6">
        <f t="shared" si="84"/>
        <v>-1.2981557549328058E-2</v>
      </c>
      <c r="E911" s="4">
        <f t="shared" si="85"/>
        <v>-2.8757290014180016E-3</v>
      </c>
      <c r="F911" s="6">
        <f t="shared" si="86"/>
        <v>-1.0105828547910057E-2</v>
      </c>
      <c r="G911" s="4">
        <f t="shared" si="89"/>
        <v>1.2485543517902573E-2</v>
      </c>
      <c r="H911" s="4">
        <f t="shared" si="87"/>
        <v>-0.80940237270565529</v>
      </c>
      <c r="I911" s="4">
        <f t="shared" si="88"/>
        <v>-1.2465046336754451</v>
      </c>
    </row>
    <row r="912" spans="1:9" x14ac:dyDescent="0.25">
      <c r="A912" s="3">
        <v>41501</v>
      </c>
      <c r="B912" s="4" t="s">
        <v>0</v>
      </c>
      <c r="C912" s="4">
        <v>428.2256486</v>
      </c>
      <c r="D912" s="6">
        <f t="shared" si="84"/>
        <v>-1.1669173752773338E-2</v>
      </c>
      <c r="E912" s="4">
        <f t="shared" si="85"/>
        <v>-3.5246588538075385E-3</v>
      </c>
      <c r="F912" s="6">
        <f t="shared" si="86"/>
        <v>-8.1445148989657996E-3</v>
      </c>
      <c r="G912" s="4">
        <f t="shared" si="89"/>
        <v>2.8665967266019343E-2</v>
      </c>
      <c r="H912" s="4">
        <f t="shared" si="87"/>
        <v>-0.2841179166704873</v>
      </c>
      <c r="I912" s="4">
        <f t="shared" si="88"/>
        <v>-0.95930002849126161</v>
      </c>
    </row>
    <row r="913" spans="1:9" x14ac:dyDescent="0.25">
      <c r="A913" s="3">
        <v>41502</v>
      </c>
      <c r="B913" s="4" t="s">
        <v>0</v>
      </c>
      <c r="C913" s="4">
        <v>426.85577330000001</v>
      </c>
      <c r="D913" s="6">
        <f t="shared" si="84"/>
        <v>-3.1989566820168971E-3</v>
      </c>
      <c r="E913" s="4">
        <f t="shared" si="85"/>
        <v>-6.4361440464156278E-3</v>
      </c>
      <c r="F913" s="6">
        <f t="shared" si="86"/>
        <v>3.2371873643987307E-3</v>
      </c>
      <c r="G913" s="4">
        <f t="shared" si="89"/>
        <v>1.5489703242926372E-2</v>
      </c>
      <c r="H913" s="4">
        <f t="shared" si="87"/>
        <v>0.20898963095868511</v>
      </c>
      <c r="I913" s="4">
        <f t="shared" si="88"/>
        <v>-0.94077686612879641</v>
      </c>
    </row>
    <row r="914" spans="1:9" x14ac:dyDescent="0.25">
      <c r="A914" s="3">
        <v>41505</v>
      </c>
      <c r="B914" s="4" t="s">
        <v>0</v>
      </c>
      <c r="C914" s="4">
        <v>431.20944909999997</v>
      </c>
      <c r="D914" s="6">
        <f t="shared" si="84"/>
        <v>1.0199407088586196E-2</v>
      </c>
      <c r="E914" s="4">
        <f t="shared" si="85"/>
        <v>-8.4365773036265187E-3</v>
      </c>
      <c r="F914" s="6">
        <f t="shared" si="86"/>
        <v>1.8635984392212715E-2</v>
      </c>
      <c r="G914" s="4">
        <f t="shared" si="89"/>
        <v>1.0553033788107229E-2</v>
      </c>
      <c r="H914" s="4">
        <f t="shared" si="87"/>
        <v>1.7659362005658117</v>
      </c>
      <c r="I914" s="4">
        <f t="shared" si="88"/>
        <v>-2.4782038654390801</v>
      </c>
    </row>
    <row r="915" spans="1:9" x14ac:dyDescent="0.25">
      <c r="A915" s="3">
        <v>41506</v>
      </c>
      <c r="B915" s="4" t="s">
        <v>0</v>
      </c>
      <c r="C915" s="4">
        <v>431.09488599999997</v>
      </c>
      <c r="D915" s="6">
        <f t="shared" si="84"/>
        <v>-2.6567854725611584E-4</v>
      </c>
      <c r="E915" s="4">
        <f t="shared" si="85"/>
        <v>-4.7964009421707834E-3</v>
      </c>
      <c r="F915" s="6">
        <f t="shared" si="86"/>
        <v>4.5307223949146679E-3</v>
      </c>
      <c r="G915" s="4">
        <f t="shared" si="89"/>
        <v>6.1045014259562248E-2</v>
      </c>
      <c r="H915" s="4">
        <f t="shared" si="87"/>
        <v>7.4219368278793774E-2</v>
      </c>
      <c r="I915" s="4">
        <f t="shared" si="88"/>
        <v>-0.92169279051852426</v>
      </c>
    </row>
    <row r="916" spans="1:9" x14ac:dyDescent="0.25">
      <c r="A916" s="3">
        <v>41507</v>
      </c>
      <c r="B916" s="4" t="s">
        <v>0</v>
      </c>
      <c r="C916" s="4">
        <v>433.0425821</v>
      </c>
      <c r="D916" s="6">
        <f t="shared" si="84"/>
        <v>4.5180218166634206E-3</v>
      </c>
      <c r="E916" s="4">
        <f t="shared" si="85"/>
        <v>2.9193284839321306E-3</v>
      </c>
      <c r="F916" s="6">
        <f t="shared" si="86"/>
        <v>1.59869333273129E-3</v>
      </c>
      <c r="G916" s="4">
        <f t="shared" si="89"/>
        <v>2.3965272433471439E-2</v>
      </c>
      <c r="H916" s="4">
        <f t="shared" si="87"/>
        <v>6.6708748551443639E-2</v>
      </c>
      <c r="I916" s="4">
        <f t="shared" si="88"/>
        <v>-0.92116356177132264</v>
      </c>
    </row>
    <row r="917" spans="1:9" x14ac:dyDescent="0.25">
      <c r="A917" s="3">
        <v>41508</v>
      </c>
      <c r="B917" s="4" t="s">
        <v>0</v>
      </c>
      <c r="C917" s="4">
        <v>435.2244096</v>
      </c>
      <c r="D917" s="6">
        <f t="shared" si="84"/>
        <v>5.0383671033444937E-3</v>
      </c>
      <c r="E917" s="4">
        <f t="shared" si="85"/>
        <v>3.0221179572097723E-3</v>
      </c>
      <c r="F917" s="6">
        <f t="shared" si="86"/>
        <v>2.0162491461347214E-3</v>
      </c>
      <c r="G917" s="4">
        <f t="shared" si="89"/>
        <v>1.0664849791464785E-2</v>
      </c>
      <c r="H917" s="4">
        <f t="shared" si="87"/>
        <v>0.18905555967120619</v>
      </c>
      <c r="I917" s="4">
        <f t="shared" si="88"/>
        <v>-0.93680953552596935</v>
      </c>
    </row>
    <row r="918" spans="1:9" x14ac:dyDescent="0.25">
      <c r="A918" s="3">
        <v>41509</v>
      </c>
      <c r="B918" s="4" t="s">
        <v>0</v>
      </c>
      <c r="C918" s="4">
        <v>433.4809679</v>
      </c>
      <c r="D918" s="6">
        <f t="shared" si="84"/>
        <v>-4.0058454019211457E-3</v>
      </c>
      <c r="E918" s="4">
        <f t="shared" si="85"/>
        <v>1.6458819686747197E-3</v>
      </c>
      <c r="F918" s="6">
        <f t="shared" si="86"/>
        <v>-5.6517273705958652E-3</v>
      </c>
      <c r="G918" s="4">
        <f t="shared" si="89"/>
        <v>9.1433139811959892E-3</v>
      </c>
      <c r="H918" s="4">
        <f t="shared" si="87"/>
        <v>-0.61812679540690918</v>
      </c>
      <c r="I918" s="4">
        <f t="shared" si="88"/>
        <v>-1.1099789008046803</v>
      </c>
    </row>
    <row r="919" spans="1:9" x14ac:dyDescent="0.25">
      <c r="A919" s="3">
        <v>41512</v>
      </c>
      <c r="B919" s="4" t="s">
        <v>0</v>
      </c>
      <c r="C919" s="4">
        <v>431.5780714</v>
      </c>
      <c r="D919" s="6">
        <f t="shared" si="84"/>
        <v>-4.3898040304251084E-3</v>
      </c>
      <c r="E919" s="4">
        <f t="shared" si="85"/>
        <v>3.3096370906164118E-3</v>
      </c>
      <c r="F919" s="6">
        <f t="shared" si="86"/>
        <v>-7.6994411210415201E-3</v>
      </c>
      <c r="G919" s="4">
        <f t="shared" si="89"/>
        <v>2.2102292248769678E-2</v>
      </c>
      <c r="H919" s="4">
        <f t="shared" si="87"/>
        <v>-0.34835486900550366</v>
      </c>
      <c r="I919" s="4">
        <f t="shared" si="88"/>
        <v>-0.97961409058459348</v>
      </c>
    </row>
    <row r="920" spans="1:9" x14ac:dyDescent="0.25">
      <c r="A920" s="3">
        <v>41513</v>
      </c>
      <c r="B920" s="4" t="s">
        <v>0</v>
      </c>
      <c r="C920" s="4">
        <v>423.48839700000002</v>
      </c>
      <c r="D920" s="6">
        <f t="shared" si="84"/>
        <v>-1.8744405557395007E-2</v>
      </c>
      <c r="E920" s="4">
        <f t="shared" si="85"/>
        <v>1.1571829655629071E-5</v>
      </c>
      <c r="F920" s="6">
        <f t="shared" si="86"/>
        <v>-1.8755977387050635E-2</v>
      </c>
      <c r="G920" s="4">
        <f t="shared" si="89"/>
        <v>1.5472111624159561E-2</v>
      </c>
      <c r="H920" s="4">
        <f t="shared" si="87"/>
        <v>-1.2122441876494316</v>
      </c>
      <c r="I920" s="4">
        <f t="shared" si="88"/>
        <v>-1.653706518449588</v>
      </c>
    </row>
    <row r="921" spans="1:9" x14ac:dyDescent="0.25">
      <c r="A921" s="3">
        <v>41514</v>
      </c>
      <c r="B921" s="4" t="s">
        <v>0</v>
      </c>
      <c r="C921" s="4">
        <v>422.69136800000001</v>
      </c>
      <c r="D921" s="6">
        <f t="shared" si="84"/>
        <v>-1.882056286892812E-3</v>
      </c>
      <c r="E921" s="4">
        <f t="shared" si="85"/>
        <v>-2.905304754973683E-3</v>
      </c>
      <c r="F921" s="6">
        <f t="shared" si="86"/>
        <v>1.023248468080871E-3</v>
      </c>
      <c r="G921" s="4">
        <f t="shared" si="89"/>
        <v>4.2383576100033675E-2</v>
      </c>
      <c r="H921" s="4">
        <f t="shared" si="87"/>
        <v>2.4142570359466622E-2</v>
      </c>
      <c r="I921" s="4">
        <f t="shared" si="88"/>
        <v>-0.91922996505645349</v>
      </c>
    </row>
    <row r="922" spans="1:9" x14ac:dyDescent="0.25">
      <c r="A922" s="3">
        <v>41515</v>
      </c>
      <c r="B922" s="4" t="s">
        <v>0</v>
      </c>
      <c r="C922" s="4">
        <v>426.11852859999999</v>
      </c>
      <c r="D922" s="6">
        <f t="shared" si="84"/>
        <v>8.1079502905769749E-3</v>
      </c>
      <c r="E922" s="4">
        <f t="shared" si="85"/>
        <v>-8.5100215201513348E-3</v>
      </c>
      <c r="F922" s="6">
        <f t="shared" si="86"/>
        <v>1.661797181072831E-2</v>
      </c>
      <c r="G922" s="4">
        <f t="shared" si="89"/>
        <v>1.6948391980696621E-2</v>
      </c>
      <c r="H922" s="4">
        <f t="shared" si="87"/>
        <v>0.98050433514019242</v>
      </c>
      <c r="I922" s="4">
        <f t="shared" si="88"/>
        <v>-1.399632908819028</v>
      </c>
    </row>
    <row r="923" spans="1:9" x14ac:dyDescent="0.25">
      <c r="A923" s="3">
        <v>41516</v>
      </c>
      <c r="B923" s="4" t="s">
        <v>0</v>
      </c>
      <c r="C923" s="4">
        <v>421.86946719999997</v>
      </c>
      <c r="D923" s="6">
        <f t="shared" si="84"/>
        <v>-9.9715480900588477E-3</v>
      </c>
      <c r="E923" s="4">
        <f t="shared" si="85"/>
        <v>-6.4598245108448658E-3</v>
      </c>
      <c r="F923" s="6">
        <f t="shared" si="86"/>
        <v>-3.5117235792139819E-3</v>
      </c>
      <c r="G923" s="4">
        <f t="shared" si="89"/>
        <v>3.4681605880671693E-2</v>
      </c>
      <c r="H923" s="4">
        <f t="shared" si="87"/>
        <v>-0.10125608344944288</v>
      </c>
      <c r="I923" s="4">
        <f t="shared" si="88"/>
        <v>-0.92406493042243298</v>
      </c>
    </row>
    <row r="924" spans="1:9" x14ac:dyDescent="0.25">
      <c r="A924" s="3">
        <v>41520</v>
      </c>
      <c r="B924" s="4" t="s">
        <v>0</v>
      </c>
      <c r="C924" s="4">
        <v>428.58429189999998</v>
      </c>
      <c r="D924" s="6">
        <f t="shared" si="84"/>
        <v>1.591683025692078E-2</v>
      </c>
      <c r="E924" s="4">
        <f t="shared" si="85"/>
        <v>2.5229175567520407E-3</v>
      </c>
      <c r="F924" s="6">
        <f t="shared" si="86"/>
        <v>1.339391270016874E-2</v>
      </c>
      <c r="G924" s="4">
        <f t="shared" si="89"/>
        <v>1.456643610489554E-2</v>
      </c>
      <c r="H924" s="4">
        <f t="shared" si="87"/>
        <v>0.91950512834551656</v>
      </c>
      <c r="I924" s="4">
        <f t="shared" si="88"/>
        <v>-1.3416833737315252</v>
      </c>
    </row>
    <row r="925" spans="1:9" x14ac:dyDescent="0.25">
      <c r="A925" s="3">
        <v>41521</v>
      </c>
      <c r="B925" s="4" t="s">
        <v>0</v>
      </c>
      <c r="C925" s="4">
        <v>434.18830559999998</v>
      </c>
      <c r="D925" s="6">
        <f t="shared" si="84"/>
        <v>1.307563950875633E-2</v>
      </c>
      <c r="E925" s="4">
        <f t="shared" si="85"/>
        <v>-1.328519547200104E-3</v>
      </c>
      <c r="F925" s="6">
        <f t="shared" si="86"/>
        <v>1.4404159055956434E-2</v>
      </c>
      <c r="G925" s="4">
        <f t="shared" si="89"/>
        <v>3.247930489219638E-2</v>
      </c>
      <c r="H925" s="4">
        <f t="shared" si="87"/>
        <v>0.44348729456390673</v>
      </c>
      <c r="I925" s="4">
        <f t="shared" si="88"/>
        <v>-1.0172790234244795</v>
      </c>
    </row>
    <row r="926" spans="1:9" x14ac:dyDescent="0.25">
      <c r="A926" s="3">
        <v>41522</v>
      </c>
      <c r="B926" s="4" t="s">
        <v>0</v>
      </c>
      <c r="C926" s="4">
        <v>438.13850780000001</v>
      </c>
      <c r="D926" s="6">
        <f t="shared" si="84"/>
        <v>9.0979009546129867E-3</v>
      </c>
      <c r="E926" s="4">
        <f t="shared" si="85"/>
        <v>3.0311262649270945E-3</v>
      </c>
      <c r="F926" s="6">
        <f t="shared" si="86"/>
        <v>6.0667746896858922E-3</v>
      </c>
      <c r="G926" s="4">
        <f t="shared" si="89"/>
        <v>2.0271854614835737E-2</v>
      </c>
      <c r="H926" s="4">
        <f t="shared" si="87"/>
        <v>0.29927082671784699</v>
      </c>
      <c r="I926" s="4">
        <f t="shared" si="88"/>
        <v>-0.96372004706686454</v>
      </c>
    </row>
    <row r="927" spans="1:9" x14ac:dyDescent="0.25">
      <c r="A927" s="3">
        <v>41523</v>
      </c>
      <c r="B927" s="4" t="s">
        <v>0</v>
      </c>
      <c r="C927" s="4">
        <v>438.14845650000001</v>
      </c>
      <c r="D927" s="6">
        <f t="shared" si="84"/>
        <v>2.2706746434934952E-5</v>
      </c>
      <c r="E927" s="4">
        <f t="shared" si="85"/>
        <v>9.8732916714582147E-3</v>
      </c>
      <c r="F927" s="6">
        <f t="shared" si="86"/>
        <v>-9.8505849250232792E-3</v>
      </c>
      <c r="G927" s="4">
        <f t="shared" si="89"/>
        <v>1.3802763424071118E-2</v>
      </c>
      <c r="H927" s="4">
        <f t="shared" si="87"/>
        <v>-0.71366759121905277</v>
      </c>
      <c r="I927" s="4">
        <f t="shared" si="88"/>
        <v>-1.1735992485828752</v>
      </c>
    </row>
    <row r="928" spans="1:9" x14ac:dyDescent="0.25">
      <c r="A928" s="3">
        <v>41526</v>
      </c>
      <c r="B928" s="4" t="s">
        <v>0</v>
      </c>
      <c r="C928" s="4">
        <v>442.36767140000001</v>
      </c>
      <c r="D928" s="6">
        <f t="shared" si="84"/>
        <v>9.6296468409446442E-3</v>
      </c>
      <c r="E928" s="4">
        <f t="shared" si="85"/>
        <v>7.4823824338499188E-3</v>
      </c>
      <c r="F928" s="6">
        <f t="shared" si="86"/>
        <v>2.1472644070947254E-3</v>
      </c>
      <c r="G928" s="4">
        <f t="shared" si="89"/>
        <v>2.5582505192378875E-2</v>
      </c>
      <c r="H928" s="4">
        <f t="shared" si="87"/>
        <v>8.393487623465444E-2</v>
      </c>
      <c r="I928" s="4">
        <f t="shared" si="88"/>
        <v>-0.92246106492893609</v>
      </c>
    </row>
    <row r="929" spans="1:9" x14ac:dyDescent="0.25">
      <c r="A929" s="3">
        <v>41527</v>
      </c>
      <c r="B929" s="4" t="s">
        <v>0</v>
      </c>
      <c r="C929" s="4">
        <v>442.67650980000002</v>
      </c>
      <c r="D929" s="6">
        <f t="shared" si="84"/>
        <v>6.9814866674728997E-4</v>
      </c>
      <c r="E929" s="4">
        <f t="shared" si="85"/>
        <v>2.7951252045578892E-3</v>
      </c>
      <c r="F929" s="6">
        <f t="shared" si="86"/>
        <v>-2.0969765378105994E-3</v>
      </c>
      <c r="G929" s="4">
        <f t="shared" si="89"/>
        <v>1.1335020173339573E-2</v>
      </c>
      <c r="H929" s="4">
        <f t="shared" si="87"/>
        <v>-0.18499980641788122</v>
      </c>
      <c r="I929" s="4">
        <f t="shared" si="88"/>
        <v>-0.93605099739199948</v>
      </c>
    </row>
    <row r="930" spans="1:9" x14ac:dyDescent="0.25">
      <c r="A930" s="3">
        <v>41528</v>
      </c>
      <c r="B930" s="4" t="s">
        <v>0</v>
      </c>
      <c r="C930" s="4">
        <v>446.42245750000001</v>
      </c>
      <c r="D930" s="6">
        <f t="shared" si="84"/>
        <v>8.4620430880608423E-3</v>
      </c>
      <c r="E930" s="4">
        <f t="shared" si="85"/>
        <v>3.6881818108196419E-3</v>
      </c>
      <c r="F930" s="6">
        <f t="shared" si="86"/>
        <v>4.7738612772412004E-3</v>
      </c>
      <c r="G930" s="4">
        <f t="shared" si="89"/>
        <v>9.1627403661613659E-3</v>
      </c>
      <c r="H930" s="4">
        <f t="shared" si="87"/>
        <v>0.52100802668941715</v>
      </c>
      <c r="I930" s="4">
        <f t="shared" si="88"/>
        <v>-1.054663215142073</v>
      </c>
    </row>
    <row r="931" spans="1:9" x14ac:dyDescent="0.25">
      <c r="A931" s="3">
        <v>41529</v>
      </c>
      <c r="B931" s="4" t="s">
        <v>0</v>
      </c>
      <c r="C931" s="4">
        <v>444.86331159999997</v>
      </c>
      <c r="D931" s="6">
        <f t="shared" si="84"/>
        <v>-3.4925346469605704E-3</v>
      </c>
      <c r="E931" s="4">
        <f t="shared" si="85"/>
        <v>3.2161576148676055E-3</v>
      </c>
      <c r="F931" s="6">
        <f t="shared" si="86"/>
        <v>-6.7086922618281759E-3</v>
      </c>
      <c r="G931" s="4">
        <f t="shared" si="89"/>
        <v>1.891610431132516E-2</v>
      </c>
      <c r="H931" s="4">
        <f t="shared" si="87"/>
        <v>-0.35465506805286806</v>
      </c>
      <c r="I931" s="4">
        <f t="shared" si="88"/>
        <v>-0.98182864185246488</v>
      </c>
    </row>
    <row r="932" spans="1:9" x14ac:dyDescent="0.25">
      <c r="A932" s="3">
        <v>41530</v>
      </c>
      <c r="B932" s="4" t="s">
        <v>0</v>
      </c>
      <c r="C932" s="4">
        <v>442.87575939999999</v>
      </c>
      <c r="D932" s="6">
        <f t="shared" si="84"/>
        <v>-4.4677817841429343E-3</v>
      </c>
      <c r="E932" s="4">
        <f t="shared" si="85"/>
        <v>3.4486029301525364E-3</v>
      </c>
      <c r="F932" s="6">
        <f t="shared" si="86"/>
        <v>-7.9163847142954703E-3</v>
      </c>
      <c r="G932" s="4">
        <f t="shared" si="89"/>
        <v>1.5019173782923053E-2</v>
      </c>
      <c r="H932" s="4">
        <f t="shared" si="87"/>
        <v>-0.52708523309694155</v>
      </c>
      <c r="I932" s="4">
        <f t="shared" si="88"/>
        <v>-1.0578479546791013</v>
      </c>
    </row>
    <row r="933" spans="1:9" x14ac:dyDescent="0.25">
      <c r="A933" s="3">
        <v>41533</v>
      </c>
      <c r="B933" s="4" t="s">
        <v>0</v>
      </c>
      <c r="C933" s="4">
        <v>442.22320089999999</v>
      </c>
      <c r="D933" s="6">
        <f t="shared" si="84"/>
        <v>-1.4734572533029854E-3</v>
      </c>
      <c r="E933" s="4">
        <f t="shared" si="85"/>
        <v>1.2563066475947638E-3</v>
      </c>
      <c r="F933" s="6">
        <f t="shared" si="86"/>
        <v>-2.7297639008977493E-3</v>
      </c>
      <c r="G933" s="4">
        <f t="shared" si="89"/>
        <v>1.9646470685951125E-2</v>
      </c>
      <c r="H933" s="4">
        <f t="shared" si="87"/>
        <v>-0.13894423810429013</v>
      </c>
      <c r="I933" s="4">
        <f t="shared" si="88"/>
        <v>-0.92859128385586354</v>
      </c>
    </row>
    <row r="934" spans="1:9" x14ac:dyDescent="0.25">
      <c r="A934" s="3">
        <v>41534</v>
      </c>
      <c r="B934" s="4" t="s">
        <v>0</v>
      </c>
      <c r="C934" s="4">
        <v>441.4012697</v>
      </c>
      <c r="D934" s="6">
        <f t="shared" si="84"/>
        <v>-1.8586342786340105E-3</v>
      </c>
      <c r="E934" s="4">
        <f t="shared" si="85"/>
        <v>-2.7775660540314768E-3</v>
      </c>
      <c r="F934" s="6">
        <f t="shared" si="86"/>
        <v>9.1893177539746629E-4</v>
      </c>
      <c r="G934" s="4">
        <f t="shared" si="89"/>
        <v>1.019058652022096E-2</v>
      </c>
      <c r="H934" s="4">
        <f t="shared" si="87"/>
        <v>9.0174571755418584E-2</v>
      </c>
      <c r="I934" s="4">
        <f t="shared" si="88"/>
        <v>-0.92300425990030932</v>
      </c>
    </row>
    <row r="935" spans="1:9" x14ac:dyDescent="0.25">
      <c r="A935" s="3">
        <v>41535</v>
      </c>
      <c r="B935" s="4" t="s">
        <v>0</v>
      </c>
      <c r="C935" s="4">
        <v>449.97416040000002</v>
      </c>
      <c r="D935" s="6">
        <f t="shared" si="84"/>
        <v>1.9421989215904642E-2</v>
      </c>
      <c r="E935" s="4">
        <f t="shared" si="85"/>
        <v>-1.9315773130139397E-3</v>
      </c>
      <c r="F935" s="6">
        <f t="shared" si="86"/>
        <v>2.135356652891858E-2</v>
      </c>
      <c r="G935" s="4">
        <f t="shared" si="89"/>
        <v>7.0376626515328937E-3</v>
      </c>
      <c r="H935" s="4">
        <f t="shared" si="87"/>
        <v>3.0341844425105395</v>
      </c>
      <c r="I935" s="4">
        <f t="shared" si="88"/>
        <v>-5.5220761487911698</v>
      </c>
    </row>
    <row r="936" spans="1:9" x14ac:dyDescent="0.25">
      <c r="A936" s="3">
        <v>41536</v>
      </c>
      <c r="B936" s="4" t="s">
        <v>0</v>
      </c>
      <c r="C936" s="4">
        <v>447.5183758</v>
      </c>
      <c r="D936" s="6">
        <f t="shared" si="84"/>
        <v>-5.4576124944973959E-3</v>
      </c>
      <c r="E936" s="4">
        <f t="shared" si="85"/>
        <v>-1.1613783579193745E-3</v>
      </c>
      <c r="F936" s="6">
        <f t="shared" si="86"/>
        <v>-4.2962341365780209E-3</v>
      </c>
      <c r="G936" s="4">
        <f t="shared" si="89"/>
        <v>0.10446041546379348</v>
      </c>
      <c r="H936" s="4">
        <f t="shared" si="87"/>
        <v>-4.1127867599446012E-2</v>
      </c>
      <c r="I936" s="4">
        <f t="shared" si="88"/>
        <v>-0.9197842839513114</v>
      </c>
    </row>
    <row r="937" spans="1:9" x14ac:dyDescent="0.25">
      <c r="A937" s="3">
        <v>41537</v>
      </c>
      <c r="B937" s="4" t="s">
        <v>0</v>
      </c>
      <c r="C937" s="4">
        <v>449.86954600000001</v>
      </c>
      <c r="D937" s="6">
        <f t="shared" si="84"/>
        <v>5.2537958822293637E-3</v>
      </c>
      <c r="E937" s="4">
        <f t="shared" si="85"/>
        <v>6.8553028218623305E-3</v>
      </c>
      <c r="F937" s="6">
        <f t="shared" si="86"/>
        <v>-1.6015069396329669E-3</v>
      </c>
      <c r="G937" s="4">
        <f t="shared" si="89"/>
        <v>4.0210929128824083E-2</v>
      </c>
      <c r="H937" s="4">
        <f t="shared" si="87"/>
        <v>-3.9827653186082966E-2</v>
      </c>
      <c r="I937" s="4">
        <f t="shared" si="88"/>
        <v>-0.91973165418382818</v>
      </c>
    </row>
    <row r="938" spans="1:9" x14ac:dyDescent="0.25">
      <c r="A938" s="3">
        <v>41540</v>
      </c>
      <c r="B938" s="4" t="s">
        <v>0</v>
      </c>
      <c r="C938" s="4">
        <v>441.59554500000002</v>
      </c>
      <c r="D938" s="6">
        <f t="shared" si="84"/>
        <v>-1.8392000689017519E-2</v>
      </c>
      <c r="E938" s="4">
        <f t="shared" si="85"/>
        <v>3.8618004055785064E-3</v>
      </c>
      <c r="F938" s="6">
        <f t="shared" si="86"/>
        <v>-2.2253801094596026E-2</v>
      </c>
      <c r="G938" s="4">
        <f t="shared" si="89"/>
        <v>1.6195179911101552E-2</v>
      </c>
      <c r="H938" s="4">
        <f t="shared" si="87"/>
        <v>-1.3741002703737413</v>
      </c>
      <c r="I938" s="4">
        <f t="shared" si="88"/>
        <v>-1.8630143097252672</v>
      </c>
    </row>
    <row r="939" spans="1:9" x14ac:dyDescent="0.25">
      <c r="A939" s="3">
        <v>41541</v>
      </c>
      <c r="B939" s="4" t="s">
        <v>0</v>
      </c>
      <c r="C939" s="4">
        <v>441.76491759999999</v>
      </c>
      <c r="D939" s="6">
        <f t="shared" si="84"/>
        <v>3.8354689470423487E-4</v>
      </c>
      <c r="E939" s="4">
        <f t="shared" si="85"/>
        <v>3.3664323533864264E-4</v>
      </c>
      <c r="F939" s="6">
        <f t="shared" si="86"/>
        <v>4.6903659365592231E-5</v>
      </c>
      <c r="G939" s="4">
        <f t="shared" si="89"/>
        <v>4.7900147165984917E-2</v>
      </c>
      <c r="H939" s="4">
        <f t="shared" si="87"/>
        <v>9.7919656077590693E-4</v>
      </c>
      <c r="I939" s="4">
        <f t="shared" si="88"/>
        <v>-0.91893901261762501</v>
      </c>
    </row>
    <row r="940" spans="1:9" x14ac:dyDescent="0.25">
      <c r="A940" s="3">
        <v>41542</v>
      </c>
      <c r="B940" s="4" t="s">
        <v>0</v>
      </c>
      <c r="C940" s="4">
        <v>436.97786120000001</v>
      </c>
      <c r="D940" s="6">
        <f t="shared" si="84"/>
        <v>-1.0836207696181223E-2</v>
      </c>
      <c r="E940" s="4">
        <f t="shared" si="85"/>
        <v>-5.4218853444692443E-3</v>
      </c>
      <c r="F940" s="6">
        <f t="shared" si="86"/>
        <v>-5.4143223517119782E-3</v>
      </c>
      <c r="G940" s="4">
        <f t="shared" si="89"/>
        <v>1.8950961663156653E-2</v>
      </c>
      <c r="H940" s="4">
        <f t="shared" si="87"/>
        <v>-0.2857017204693198</v>
      </c>
      <c r="I940" s="4">
        <f t="shared" si="88"/>
        <v>-0.95975126974423741</v>
      </c>
    </row>
    <row r="941" spans="1:9" x14ac:dyDescent="0.25">
      <c r="A941" s="3">
        <v>41543</v>
      </c>
      <c r="B941" s="4" t="s">
        <v>0</v>
      </c>
      <c r="C941" s="4">
        <v>437.44609309999998</v>
      </c>
      <c r="D941" s="6">
        <f t="shared" si="84"/>
        <v>1.0715231630136824E-3</v>
      </c>
      <c r="E941" s="4">
        <f t="shared" si="85"/>
        <v>-5.4861856153668289E-3</v>
      </c>
      <c r="F941" s="6">
        <f t="shared" si="86"/>
        <v>6.5577087783805117E-3</v>
      </c>
      <c r="G941" s="4">
        <f t="shared" si="89"/>
        <v>1.3175198539657582E-2</v>
      </c>
      <c r="H941" s="4">
        <f t="shared" si="87"/>
        <v>0.49773130618424399</v>
      </c>
      <c r="I941" s="4">
        <f t="shared" si="88"/>
        <v>-1.0428067597826096</v>
      </c>
    </row>
    <row r="942" spans="1:9" x14ac:dyDescent="0.25">
      <c r="A942" s="3">
        <v>41544</v>
      </c>
      <c r="B942" s="4" t="s">
        <v>0</v>
      </c>
      <c r="C942" s="4">
        <v>436.55943409999998</v>
      </c>
      <c r="D942" s="6">
        <f t="shared" si="84"/>
        <v>-2.0268988887673501E-3</v>
      </c>
      <c r="E942" s="4">
        <f t="shared" si="85"/>
        <v>-4.0249734801172292E-3</v>
      </c>
      <c r="F942" s="6">
        <f t="shared" si="86"/>
        <v>1.9980745913498791E-3</v>
      </c>
      <c r="G942" s="4">
        <f t="shared" si="89"/>
        <v>1.8516379501022404E-2</v>
      </c>
      <c r="H942" s="4">
        <f t="shared" si="87"/>
        <v>0.10790849211313437</v>
      </c>
      <c r="I942" s="4">
        <f t="shared" si="88"/>
        <v>-0.92476065453973788</v>
      </c>
    </row>
    <row r="943" spans="1:9" x14ac:dyDescent="0.25">
      <c r="A943" s="3">
        <v>41547</v>
      </c>
      <c r="B943" s="4" t="s">
        <v>0</v>
      </c>
      <c r="C943" s="4">
        <v>436.32032830000003</v>
      </c>
      <c r="D943" s="6">
        <f t="shared" si="84"/>
        <v>-5.4770503469449023E-4</v>
      </c>
      <c r="E943" s="4">
        <f t="shared" si="85"/>
        <v>-2.909032080250353E-3</v>
      </c>
      <c r="F943" s="6">
        <f t="shared" si="86"/>
        <v>2.3613270455558628E-3</v>
      </c>
      <c r="G943" s="4">
        <f t="shared" si="89"/>
        <v>9.4079370523921166E-3</v>
      </c>
      <c r="H943" s="4">
        <f t="shared" si="87"/>
        <v>0.25099307450781233</v>
      </c>
      <c r="I943" s="4">
        <f t="shared" si="88"/>
        <v>-0.95043729493011486</v>
      </c>
    </row>
    <row r="944" spans="1:9" x14ac:dyDescent="0.25">
      <c r="A944" s="3">
        <v>41548</v>
      </c>
      <c r="B944" s="4" t="s">
        <v>0</v>
      </c>
      <c r="C944" s="4">
        <v>441.84462989999997</v>
      </c>
      <c r="D944" s="6">
        <f t="shared" si="84"/>
        <v>1.2661114419132931E-2</v>
      </c>
      <c r="E944" s="4">
        <f t="shared" si="85"/>
        <v>-4.4669593573775165E-4</v>
      </c>
      <c r="F944" s="6">
        <f t="shared" si="86"/>
        <v>1.3107810354870682E-2</v>
      </c>
      <c r="G944" s="4">
        <f t="shared" si="89"/>
        <v>1.0589343142356357E-2</v>
      </c>
      <c r="H944" s="4">
        <f t="shared" si="87"/>
        <v>1.2378303525211776</v>
      </c>
      <c r="I944" s="4">
        <f t="shared" si="88"/>
        <v>-1.6850505240160241</v>
      </c>
    </row>
    <row r="945" spans="1:9" x14ac:dyDescent="0.25">
      <c r="A945" s="3">
        <v>41549</v>
      </c>
      <c r="B945" s="4" t="s">
        <v>0</v>
      </c>
      <c r="C945" s="4">
        <v>442.33776399999999</v>
      </c>
      <c r="D945" s="6">
        <f t="shared" si="84"/>
        <v>1.1160803292135253E-3</v>
      </c>
      <c r="E945" s="4">
        <f t="shared" si="85"/>
        <v>-8.2986529630346717E-4</v>
      </c>
      <c r="F945" s="6">
        <f t="shared" si="86"/>
        <v>1.9459456255169925E-3</v>
      </c>
      <c r="G945" s="4">
        <f t="shared" si="89"/>
        <v>4.3033807255310821E-2</v>
      </c>
      <c r="H945" s="4">
        <f t="shared" si="87"/>
        <v>4.5218997565613775E-2</v>
      </c>
      <c r="I945" s="4">
        <f t="shared" si="88"/>
        <v>-0.91996091207509223</v>
      </c>
    </row>
    <row r="946" spans="1:9" x14ac:dyDescent="0.25">
      <c r="A946" s="3">
        <v>41550</v>
      </c>
      <c r="B946" s="4" t="s">
        <v>0</v>
      </c>
      <c r="C946" s="4">
        <v>436.40998919999998</v>
      </c>
      <c r="D946" s="6">
        <f t="shared" si="84"/>
        <v>-1.3401014524276542E-2</v>
      </c>
      <c r="E946" s="4">
        <f t="shared" si="85"/>
        <v>4.6723673525251889E-3</v>
      </c>
      <c r="F946" s="6">
        <f t="shared" si="86"/>
        <v>-1.8073381876801731E-2</v>
      </c>
      <c r="G946" s="4">
        <f t="shared" si="89"/>
        <v>1.7235698534062996E-2</v>
      </c>
      <c r="H946" s="4">
        <f t="shared" si="87"/>
        <v>-1.0486016473938216</v>
      </c>
      <c r="I946" s="4">
        <f t="shared" si="88"/>
        <v>-1.4687212406631909</v>
      </c>
    </row>
    <row r="947" spans="1:9" x14ac:dyDescent="0.25">
      <c r="A947" s="3">
        <v>41551</v>
      </c>
      <c r="B947" s="4" t="s">
        <v>0</v>
      </c>
      <c r="C947" s="4">
        <v>434.54694890000002</v>
      </c>
      <c r="D947" s="6">
        <f t="shared" si="84"/>
        <v>-4.2690138771002408E-3</v>
      </c>
      <c r="E947" s="4">
        <f t="shared" si="85"/>
        <v>4.3038805912339901E-3</v>
      </c>
      <c r="F947" s="6">
        <f t="shared" si="86"/>
        <v>-8.5728944683342301E-3</v>
      </c>
      <c r="G947" s="4">
        <f t="shared" si="89"/>
        <v>3.6980294088492113E-2</v>
      </c>
      <c r="H947" s="4">
        <f t="shared" si="87"/>
        <v>-0.23182331778702719</v>
      </c>
      <c r="I947" s="4">
        <f t="shared" si="88"/>
        <v>-0.94580955853956528</v>
      </c>
    </row>
    <row r="948" spans="1:9" x14ac:dyDescent="0.25">
      <c r="A948" s="3">
        <v>41554</v>
      </c>
      <c r="B948" s="4" t="s">
        <v>0</v>
      </c>
      <c r="C948" s="4">
        <v>431.25430999999998</v>
      </c>
      <c r="D948" s="6">
        <f t="shared" si="84"/>
        <v>-7.5771764324543906E-3</v>
      </c>
      <c r="E948" s="4">
        <f t="shared" si="85"/>
        <v>-4.7812126533870415E-3</v>
      </c>
      <c r="F948" s="6">
        <f t="shared" si="86"/>
        <v>-2.7959637790673491E-3</v>
      </c>
      <c r="G948" s="4">
        <f t="shared" si="89"/>
        <v>1.6958227726992101E-2</v>
      </c>
      <c r="H948" s="4">
        <f t="shared" si="87"/>
        <v>-0.16487358373051358</v>
      </c>
      <c r="I948" s="4">
        <f t="shared" si="88"/>
        <v>-0.93253018251074404</v>
      </c>
    </row>
    <row r="949" spans="1:9" x14ac:dyDescent="0.25">
      <c r="A949" s="3">
        <v>41555</v>
      </c>
      <c r="B949" s="4" t="s">
        <v>0</v>
      </c>
      <c r="C949" s="4">
        <v>425.24181829999998</v>
      </c>
      <c r="D949" s="6">
        <f t="shared" si="84"/>
        <v>-1.3941870401248856E-2</v>
      </c>
      <c r="E949" s="4">
        <f t="shared" si="85"/>
        <v>-5.7361971705562551E-3</v>
      </c>
      <c r="F949" s="6">
        <f t="shared" si="86"/>
        <v>-8.2056732306926006E-3</v>
      </c>
      <c r="G949" s="4">
        <f t="shared" si="89"/>
        <v>9.9407485640152851E-3</v>
      </c>
      <c r="H949" s="4">
        <f t="shared" si="87"/>
        <v>-0.82545828192420856</v>
      </c>
      <c r="I949" s="4">
        <f t="shared" si="88"/>
        <v>-1.2596292208033057</v>
      </c>
    </row>
    <row r="950" spans="1:9" x14ac:dyDescent="0.25">
      <c r="A950" s="3">
        <v>41556</v>
      </c>
      <c r="B950" s="4" t="s">
        <v>0</v>
      </c>
      <c r="C950" s="4">
        <v>426.33273179999998</v>
      </c>
      <c r="D950" s="6">
        <f t="shared" si="84"/>
        <v>2.5653956244500405E-3</v>
      </c>
      <c r="E950" s="4">
        <f t="shared" si="85"/>
        <v>-4.2042708581072809E-3</v>
      </c>
      <c r="F950" s="6">
        <f t="shared" si="86"/>
        <v>6.7696664825573211E-3</v>
      </c>
      <c r="G950" s="4">
        <f t="shared" si="89"/>
        <v>2.9059292016974887E-2</v>
      </c>
      <c r="H950" s="4">
        <f t="shared" si="87"/>
        <v>0.23296047538263642</v>
      </c>
      <c r="I950" s="4">
        <f t="shared" si="88"/>
        <v>-0.94607382474992452</v>
      </c>
    </row>
    <row r="951" spans="1:9" x14ac:dyDescent="0.25">
      <c r="A951" s="3">
        <v>41557</v>
      </c>
      <c r="B951" s="4" t="s">
        <v>0</v>
      </c>
      <c r="C951" s="4">
        <v>432.49964319999998</v>
      </c>
      <c r="D951" s="6">
        <f t="shared" si="84"/>
        <v>1.4465019783873897E-2</v>
      </c>
      <c r="E951" s="4">
        <f t="shared" si="85"/>
        <v>-7.6501630393272383E-3</v>
      </c>
      <c r="F951" s="6">
        <f t="shared" si="86"/>
        <v>2.2115182823201136E-2</v>
      </c>
      <c r="G951" s="4">
        <f t="shared" si="89"/>
        <v>1.4559466956562607E-2</v>
      </c>
      <c r="H951" s="4">
        <f t="shared" si="87"/>
        <v>1.5189555283294782</v>
      </c>
      <c r="I951" s="4">
        <f t="shared" si="88"/>
        <v>-2.0725514817260149</v>
      </c>
    </row>
    <row r="952" spans="1:9" x14ac:dyDescent="0.25">
      <c r="A952" s="3">
        <v>41558</v>
      </c>
      <c r="B952" s="4" t="s">
        <v>0</v>
      </c>
      <c r="C952" s="4">
        <v>434.36762700000003</v>
      </c>
      <c r="D952" s="6">
        <f t="shared" si="84"/>
        <v>4.3190412509455855E-3</v>
      </c>
      <c r="E952" s="4">
        <f t="shared" si="85"/>
        <v>-3.2887419179261747E-3</v>
      </c>
      <c r="F952" s="6">
        <f t="shared" si="86"/>
        <v>7.6077831688717602E-3</v>
      </c>
      <c r="G952" s="4">
        <f t="shared" si="89"/>
        <v>5.2748036634867171E-2</v>
      </c>
      <c r="H952" s="4">
        <f t="shared" si="87"/>
        <v>0.14422874583056827</v>
      </c>
      <c r="I952" s="4">
        <f t="shared" si="88"/>
        <v>-0.92933949876660193</v>
      </c>
    </row>
    <row r="953" spans="1:9" x14ac:dyDescent="0.25">
      <c r="A953" s="3">
        <v>41561</v>
      </c>
      <c r="B953" s="4" t="s">
        <v>0</v>
      </c>
      <c r="C953" s="4">
        <v>436.41993789999998</v>
      </c>
      <c r="D953" s="6">
        <f t="shared" si="84"/>
        <v>4.7248247162764547E-3</v>
      </c>
      <c r="E953" s="4">
        <f t="shared" si="85"/>
        <v>6.3154209063795378E-3</v>
      </c>
      <c r="F953" s="6">
        <f t="shared" si="86"/>
        <v>-1.5905961901030831E-3</v>
      </c>
      <c r="G953" s="4">
        <f t="shared" si="89"/>
        <v>2.1326619283765284E-2</v>
      </c>
      <c r="H953" s="4">
        <f t="shared" si="87"/>
        <v>-7.45826691487812E-2</v>
      </c>
      <c r="I953" s="4">
        <f t="shared" si="88"/>
        <v>-0.92171982047335088</v>
      </c>
    </row>
    <row r="954" spans="1:9" x14ac:dyDescent="0.25">
      <c r="A954" s="3">
        <v>41562</v>
      </c>
      <c r="B954" s="4" t="s">
        <v>0</v>
      </c>
      <c r="C954" s="4">
        <v>439.35893829999998</v>
      </c>
      <c r="D954" s="6">
        <f t="shared" si="84"/>
        <v>6.7343403560848128E-3</v>
      </c>
      <c r="E954" s="4">
        <f t="shared" si="85"/>
        <v>6.0811185128978292E-3</v>
      </c>
      <c r="F954" s="6">
        <f t="shared" si="86"/>
        <v>6.5322184318698361E-4</v>
      </c>
      <c r="G954" s="4">
        <f t="shared" si="89"/>
        <v>9.8812151427678657E-3</v>
      </c>
      <c r="H954" s="4">
        <f t="shared" si="87"/>
        <v>6.6107440608160581E-2</v>
      </c>
      <c r="I954" s="4">
        <f t="shared" si="88"/>
        <v>-0.92112363005655351</v>
      </c>
    </row>
    <row r="955" spans="1:9" x14ac:dyDescent="0.25">
      <c r="A955" s="3">
        <v>41563</v>
      </c>
      <c r="B955" s="4" t="s">
        <v>0</v>
      </c>
      <c r="C955" s="4">
        <v>447.33902399999999</v>
      </c>
      <c r="D955" s="6">
        <f t="shared" si="84"/>
        <v>1.8163021175527132E-2</v>
      </c>
      <c r="E955" s="4">
        <f t="shared" si="85"/>
        <v>3.1290529191202758E-3</v>
      </c>
      <c r="F955" s="6">
        <f t="shared" si="86"/>
        <v>1.5033968256406856E-2</v>
      </c>
      <c r="G955" s="4">
        <f t="shared" si="89"/>
        <v>6.6467095157182717E-3</v>
      </c>
      <c r="H955" s="4">
        <f t="shared" si="87"/>
        <v>2.2618662995357668</v>
      </c>
      <c r="I955" s="4">
        <f t="shared" si="88"/>
        <v>-3.4769581116924844</v>
      </c>
    </row>
    <row r="956" spans="1:9" x14ac:dyDescent="0.25">
      <c r="A956" s="3">
        <v>41564</v>
      </c>
      <c r="B956" s="4" t="s">
        <v>0</v>
      </c>
      <c r="C956" s="4">
        <v>442.73626330000002</v>
      </c>
      <c r="D956" s="6">
        <f t="shared" si="84"/>
        <v>-1.0289200031875547E-2</v>
      </c>
      <c r="E956" s="4">
        <f t="shared" si="85"/>
        <v>4.0217496440041085E-3</v>
      </c>
      <c r="F956" s="6">
        <f t="shared" si="86"/>
        <v>-1.4310949675879656E-2</v>
      </c>
      <c r="G956" s="4">
        <f t="shared" si="89"/>
        <v>7.7957412954034425E-2</v>
      </c>
      <c r="H956" s="4">
        <f t="shared" si="87"/>
        <v>-0.18357394292083215</v>
      </c>
      <c r="I956" s="4">
        <f t="shared" si="88"/>
        <v>-0.93578822946442308</v>
      </c>
    </row>
    <row r="957" spans="1:9" x14ac:dyDescent="0.25">
      <c r="A957" s="3">
        <v>41565</v>
      </c>
      <c r="B957" s="4" t="s">
        <v>0</v>
      </c>
      <c r="C957" s="4">
        <v>503.81742259999999</v>
      </c>
      <c r="D957" s="6">
        <f t="shared" si="84"/>
        <v>0.13796285591047489</v>
      </c>
      <c r="E957" s="4">
        <f t="shared" si="85"/>
        <v>9.0055463630561786E-3</v>
      </c>
      <c r="F957" s="6">
        <f t="shared" si="86"/>
        <v>0.12895730954741871</v>
      </c>
      <c r="G957" s="4">
        <f t="shared" si="89"/>
        <v>3.0825751460387796E-2</v>
      </c>
      <c r="H957" s="4">
        <f t="shared" si="87"/>
        <v>4.1834279275602908</v>
      </c>
      <c r="I957" s="4">
        <f t="shared" si="88"/>
        <v>-9.6694731457503664</v>
      </c>
    </row>
    <row r="958" spans="1:9" x14ac:dyDescent="0.25">
      <c r="A958" s="3">
        <v>41568</v>
      </c>
      <c r="B958" s="4" t="s">
        <v>0</v>
      </c>
      <c r="C958" s="4">
        <v>499.77755999999999</v>
      </c>
      <c r="D958" s="6">
        <f t="shared" si="84"/>
        <v>-8.0185051544106566E-3</v>
      </c>
      <c r="E958" s="4">
        <f t="shared" si="85"/>
        <v>1.6318773562765078E-3</v>
      </c>
      <c r="F958" s="6">
        <f t="shared" si="86"/>
        <v>-9.6503825106871652E-3</v>
      </c>
      <c r="G958" s="4">
        <f t="shared" si="89"/>
        <v>0.14438150205636735</v>
      </c>
      <c r="H958" s="4">
        <f t="shared" si="87"/>
        <v>-6.6839466089773758E-2</v>
      </c>
      <c r="I958" s="4">
        <f t="shared" si="88"/>
        <v>-0.92117229031825565</v>
      </c>
    </row>
    <row r="959" spans="1:9" x14ac:dyDescent="0.25">
      <c r="A959" s="3">
        <v>41569</v>
      </c>
      <c r="B959" s="4" t="s">
        <v>0</v>
      </c>
      <c r="C959" s="4">
        <v>501.62067209999998</v>
      </c>
      <c r="D959" s="6">
        <f t="shared" si="84"/>
        <v>3.6878648573176933E-3</v>
      </c>
      <c r="E959" s="4">
        <f t="shared" si="85"/>
        <v>4.9589081920383374E-2</v>
      </c>
      <c r="F959" s="6">
        <f t="shared" si="86"/>
        <v>-4.5901217063065679E-2</v>
      </c>
      <c r="G959" s="4">
        <f t="shared" si="89"/>
        <v>5.5387946759834286E-2</v>
      </c>
      <c r="H959" s="4">
        <f t="shared" si="87"/>
        <v>-0.82872212725444261</v>
      </c>
      <c r="I959" s="4">
        <f t="shared" si="88"/>
        <v>-1.2623287153052372</v>
      </c>
    </row>
    <row r="960" spans="1:9" x14ac:dyDescent="0.25">
      <c r="A960" s="3">
        <v>41570</v>
      </c>
      <c r="B960" s="4" t="s">
        <v>0</v>
      </c>
      <c r="C960" s="4">
        <v>513.78011700000002</v>
      </c>
      <c r="D960" s="6">
        <f t="shared" si="84"/>
        <v>2.4240318583951835E-2</v>
      </c>
      <c r="E960" s="4">
        <f t="shared" si="85"/>
        <v>3.9186195697469485E-2</v>
      </c>
      <c r="F960" s="6">
        <f t="shared" si="86"/>
        <v>-1.494587711351765E-2</v>
      </c>
      <c r="G960" s="4">
        <f t="shared" si="89"/>
        <v>3.5825655230114946E-2</v>
      </c>
      <c r="H960" s="4">
        <f t="shared" si="87"/>
        <v>-0.4171836360707839</v>
      </c>
      <c r="I960" s="4">
        <f t="shared" si="88"/>
        <v>-1.0059596263072927</v>
      </c>
    </row>
    <row r="961" spans="1:9" x14ac:dyDescent="0.25">
      <c r="A961" s="3">
        <v>41571</v>
      </c>
      <c r="B961" s="4" t="s">
        <v>0</v>
      </c>
      <c r="C961" s="4">
        <v>510.86104440000003</v>
      </c>
      <c r="D961" s="6">
        <f t="shared" si="84"/>
        <v>-5.6815600748520061E-3</v>
      </c>
      <c r="E961" s="4">
        <f t="shared" si="85"/>
        <v>-1.0454060408397609E-3</v>
      </c>
      <c r="F961" s="6">
        <f t="shared" si="86"/>
        <v>-4.6361540340122452E-3</v>
      </c>
      <c r="G961" s="4">
        <f t="shared" si="89"/>
        <v>2.0432865010202469E-2</v>
      </c>
      <c r="H961" s="4">
        <f t="shared" si="87"/>
        <v>-0.22689691493079098</v>
      </c>
      <c r="I961" s="4">
        <f t="shared" si="88"/>
        <v>-0.944679638207228</v>
      </c>
    </row>
    <row r="962" spans="1:9" x14ac:dyDescent="0.25">
      <c r="A962" s="3">
        <v>41572</v>
      </c>
      <c r="B962" s="4" t="s">
        <v>0</v>
      </c>
      <c r="C962" s="4">
        <v>505.70536559999999</v>
      </c>
      <c r="D962" s="6">
        <f t="shared" si="84"/>
        <v>-1.0092135339963754E-2</v>
      </c>
      <c r="E962" s="4">
        <f t="shared" si="85"/>
        <v>1.0395873151906395E-2</v>
      </c>
      <c r="F962" s="6">
        <f t="shared" si="86"/>
        <v>-2.0488008491870151E-2</v>
      </c>
      <c r="G962" s="4">
        <f t="shared" si="89"/>
        <v>1.2102372826425381E-2</v>
      </c>
      <c r="H962" s="4">
        <f t="shared" si="87"/>
        <v>-1.6928918639107562</v>
      </c>
      <c r="I962" s="4">
        <f t="shared" si="88"/>
        <v>-2.3518799646522899</v>
      </c>
    </row>
    <row r="963" spans="1:9" x14ac:dyDescent="0.25">
      <c r="A963" s="3">
        <v>41575</v>
      </c>
      <c r="B963" s="4" t="s">
        <v>0</v>
      </c>
      <c r="C963" s="4">
        <v>505.60572509999997</v>
      </c>
      <c r="D963" s="6">
        <f t="shared" si="84"/>
        <v>-1.9703271267806555E-4</v>
      </c>
      <c r="E963" s="4">
        <f t="shared" si="85"/>
        <v>5.2515070067926505E-3</v>
      </c>
      <c r="F963" s="6">
        <f t="shared" si="86"/>
        <v>-5.4485397194707162E-3</v>
      </c>
      <c r="G963" s="4">
        <f t="shared" si="89"/>
        <v>5.8592061370425719E-2</v>
      </c>
      <c r="H963" s="4">
        <f t="shared" si="87"/>
        <v>-9.2991091148413849E-2</v>
      </c>
      <c r="I963" s="4">
        <f t="shared" si="88"/>
        <v>-0.92326220472115894</v>
      </c>
    </row>
    <row r="964" spans="1:9" x14ac:dyDescent="0.25">
      <c r="A964" s="3">
        <v>41576</v>
      </c>
      <c r="B964" s="4" t="s">
        <v>0</v>
      </c>
      <c r="C964" s="4">
        <v>516.18606590000002</v>
      </c>
      <c r="D964" s="6">
        <f t="shared" ref="D964:D1027" si="90">(C964-C963)/C963</f>
        <v>2.0926070008221203E-2</v>
      </c>
      <c r="E964" s="4">
        <f t="shared" si="85"/>
        <v>-5.5980078797117031E-3</v>
      </c>
      <c r="F964" s="6">
        <f t="shared" si="86"/>
        <v>2.6524077887932908E-2</v>
      </c>
      <c r="G964" s="4">
        <f t="shared" si="89"/>
        <v>2.3136098866297378E-2</v>
      </c>
      <c r="H964" s="4">
        <f t="shared" si="87"/>
        <v>1.1464369183938281</v>
      </c>
      <c r="I964" s="4">
        <f t="shared" si="88"/>
        <v>-1.5760973371328413</v>
      </c>
    </row>
    <row r="965" spans="1:9" x14ac:dyDescent="0.25">
      <c r="A965" s="3">
        <v>41577</v>
      </c>
      <c r="B965" s="4" t="s">
        <v>0</v>
      </c>
      <c r="C965" s="4">
        <v>513.28695200000004</v>
      </c>
      <c r="D965" s="6">
        <f t="shared" si="90"/>
        <v>-5.6164125526038822E-3</v>
      </c>
      <c r="E965" s="4">
        <f t="shared" si="85"/>
        <v>-3.1656417597467085E-3</v>
      </c>
      <c r="F965" s="6">
        <f t="shared" si="86"/>
        <v>-2.4507707928571737E-3</v>
      </c>
      <c r="G965" s="4">
        <f t="shared" si="89"/>
        <v>4.0694582936981985E-2</v>
      </c>
      <c r="H965" s="4">
        <f t="shared" si="87"/>
        <v>-6.0223514187437183E-2</v>
      </c>
      <c r="I965" s="4">
        <f t="shared" si="88"/>
        <v>-0.92075196903521495</v>
      </c>
    </row>
    <row r="966" spans="1:9" x14ac:dyDescent="0.25">
      <c r="A966" s="3">
        <v>41578</v>
      </c>
      <c r="B966" s="4" t="s">
        <v>0</v>
      </c>
      <c r="C966" s="4">
        <v>513.3666637</v>
      </c>
      <c r="D966" s="6">
        <f t="shared" si="90"/>
        <v>1.5529656401622622E-4</v>
      </c>
      <c r="E966" s="4">
        <f t="shared" si="85"/>
        <v>7.9391476289956686E-3</v>
      </c>
      <c r="F966" s="6">
        <f t="shared" si="86"/>
        <v>-7.7838510649794425E-3</v>
      </c>
      <c r="G966" s="4">
        <f t="shared" si="89"/>
        <v>1.644377313334899E-2</v>
      </c>
      <c r="H966" s="4">
        <f t="shared" si="87"/>
        <v>-0.47336161852010172</v>
      </c>
      <c r="I966" s="4">
        <f t="shared" si="88"/>
        <v>-1.0309741441486577</v>
      </c>
    </row>
    <row r="967" spans="1:9" x14ac:dyDescent="0.25">
      <c r="A967" s="3">
        <v>41579</v>
      </c>
      <c r="B967" s="4" t="s">
        <v>0</v>
      </c>
      <c r="C967" s="4">
        <v>511.6032639</v>
      </c>
      <c r="D967" s="6">
        <f t="shared" si="90"/>
        <v>-3.4349713853459199E-3</v>
      </c>
      <c r="E967" s="4">
        <f t="shared" ref="E967:E1030" si="91">+$M$16*D966+$M$17*D965+$M$18*D964</f>
        <v>4.2616205428304948E-3</v>
      </c>
      <c r="F967" s="6">
        <f t="shared" ref="F967:F1030" si="92">D967-E967</f>
        <v>-7.6965919281764151E-3</v>
      </c>
      <c r="G967" s="4">
        <f t="shared" si="89"/>
        <v>1.8138261203359367E-2</v>
      </c>
      <c r="H967" s="4">
        <f t="shared" ref="H967:H1030" si="93">F967/G967</f>
        <v>-0.42432909317409861</v>
      </c>
      <c r="I967" s="4">
        <f t="shared" ref="I967:I1030" si="94">LN(_xlfn.NORM.DIST(H967,0,1,FALSE))</f>
        <v>-1.0089661228616491</v>
      </c>
    </row>
    <row r="968" spans="1:9" x14ac:dyDescent="0.25">
      <c r="A968" s="3">
        <v>41582</v>
      </c>
      <c r="B968" s="4" t="s">
        <v>0</v>
      </c>
      <c r="C968" s="4">
        <v>511.14000629999998</v>
      </c>
      <c r="D968" s="6">
        <f t="shared" si="90"/>
        <v>-9.0550165076853397E-4</v>
      </c>
      <c r="E968" s="4">
        <f t="shared" si="91"/>
        <v>-1.6607408194072829E-3</v>
      </c>
      <c r="F968" s="6">
        <f t="shared" si="92"/>
        <v>7.552391686387489E-4</v>
      </c>
      <c r="G968" s="4">
        <f t="shared" ref="G968:G1031" si="95">SQRT($M$12 + $M$13 *H967^2+$M$14*G967^2)</f>
        <v>1.6897266234878933E-2</v>
      </c>
      <c r="H968" s="4">
        <f t="shared" si="93"/>
        <v>4.4695938274311037E-2</v>
      </c>
      <c r="I968" s="4">
        <f t="shared" si="94"/>
        <v>-0.91993739665378316</v>
      </c>
    </row>
    <row r="969" spans="1:9" x14ac:dyDescent="0.25">
      <c r="A969" s="3">
        <v>41583</v>
      </c>
      <c r="B969" s="4" t="s">
        <v>0</v>
      </c>
      <c r="C969" s="4">
        <v>508.85356439999998</v>
      </c>
      <c r="D969" s="6">
        <f t="shared" si="90"/>
        <v>-4.47322039327525E-3</v>
      </c>
      <c r="E969" s="4">
        <f t="shared" si="91"/>
        <v>-1.2655763662440284E-3</v>
      </c>
      <c r="F969" s="6">
        <f t="shared" si="92"/>
        <v>-3.2076440270312218E-3</v>
      </c>
      <c r="G969" s="4">
        <f t="shared" si="95"/>
        <v>8.2917681844897635E-3</v>
      </c>
      <c r="H969" s="4">
        <f t="shared" si="93"/>
        <v>-0.38684680464551663</v>
      </c>
      <c r="I969" s="4">
        <f t="shared" si="94"/>
        <v>-0.9937637583368959</v>
      </c>
    </row>
    <row r="970" spans="1:9" x14ac:dyDescent="0.25">
      <c r="A970" s="3">
        <v>41584</v>
      </c>
      <c r="B970" s="4" t="s">
        <v>0</v>
      </c>
      <c r="C970" s="4">
        <v>509.46626689999999</v>
      </c>
      <c r="D970" s="6">
        <f t="shared" si="90"/>
        <v>1.2040841272723758E-3</v>
      </c>
      <c r="E970" s="4">
        <f t="shared" si="91"/>
        <v>-1.3982115126167085E-3</v>
      </c>
      <c r="F970" s="6">
        <f t="shared" si="92"/>
        <v>2.6022956398890846E-3</v>
      </c>
      <c r="G970" s="4">
        <f t="shared" si="95"/>
        <v>1.454859823145125E-2</v>
      </c>
      <c r="H970" s="4">
        <f t="shared" si="93"/>
        <v>0.17886916653340704</v>
      </c>
      <c r="I970" s="4">
        <f t="shared" si="94"/>
        <v>-0.93493562257285046</v>
      </c>
    </row>
    <row r="971" spans="1:9" x14ac:dyDescent="0.25">
      <c r="A971" s="3">
        <v>41585</v>
      </c>
      <c r="B971" s="4" t="s">
        <v>0</v>
      </c>
      <c r="C971" s="4">
        <v>502.09387839999999</v>
      </c>
      <c r="D971" s="6">
        <f t="shared" si="90"/>
        <v>-1.4470807939570767E-2</v>
      </c>
      <c r="E971" s="4">
        <f t="shared" si="91"/>
        <v>-1.9873069921535259E-3</v>
      </c>
      <c r="F971" s="6">
        <f t="shared" si="92"/>
        <v>-1.2483500947417242E-2</v>
      </c>
      <c r="G971" s="4">
        <f t="shared" si="95"/>
        <v>9.6664713302535184E-3</v>
      </c>
      <c r="H971" s="4">
        <f t="shared" si="93"/>
        <v>-1.2914227457900962</v>
      </c>
      <c r="I971" s="4">
        <f t="shared" si="94"/>
        <v>-1.7528248873766885</v>
      </c>
    </row>
    <row r="972" spans="1:9" x14ac:dyDescent="0.25">
      <c r="A972" s="3">
        <v>41586</v>
      </c>
      <c r="B972" s="4" t="s">
        <v>0</v>
      </c>
      <c r="C972" s="4">
        <v>506.11881840000001</v>
      </c>
      <c r="D972" s="6">
        <f t="shared" si="90"/>
        <v>8.0163096447742211E-3</v>
      </c>
      <c r="E972" s="4">
        <f t="shared" si="91"/>
        <v>-9.0992672129830833E-4</v>
      </c>
      <c r="F972" s="6">
        <f t="shared" si="92"/>
        <v>8.9262363660725288E-3</v>
      </c>
      <c r="G972" s="4">
        <f t="shared" si="95"/>
        <v>4.4826063270528342E-2</v>
      </c>
      <c r="H972" s="4">
        <f t="shared" si="93"/>
        <v>0.19913049941954716</v>
      </c>
      <c r="I972" s="4">
        <f t="shared" si="94"/>
        <v>-0.93876501110421173</v>
      </c>
    </row>
    <row r="973" spans="1:9" x14ac:dyDescent="0.25">
      <c r="A973" s="3">
        <v>41589</v>
      </c>
      <c r="B973" s="4" t="s">
        <v>0</v>
      </c>
      <c r="C973" s="4">
        <v>503.40897460000002</v>
      </c>
      <c r="D973" s="6">
        <f t="shared" si="90"/>
        <v>-5.354165270057833E-3</v>
      </c>
      <c r="E973" s="4">
        <f t="shared" si="91"/>
        <v>-5.162975376749787E-3</v>
      </c>
      <c r="F973" s="6">
        <f t="shared" si="92"/>
        <v>-1.9118989330804605E-4</v>
      </c>
      <c r="G973" s="4">
        <f t="shared" si="95"/>
        <v>1.9090872151428597E-2</v>
      </c>
      <c r="H973" s="4">
        <f t="shared" si="93"/>
        <v>-1.0014728074837536E-2</v>
      </c>
      <c r="I973" s="4">
        <f t="shared" si="94"/>
        <v>-0.91898868059387917</v>
      </c>
    </row>
    <row r="974" spans="1:9" x14ac:dyDescent="0.25">
      <c r="A974" s="3">
        <v>41590</v>
      </c>
      <c r="B974" s="4" t="s">
        <v>0</v>
      </c>
      <c r="C974" s="4">
        <v>504.00174920000001</v>
      </c>
      <c r="D974" s="6">
        <f t="shared" si="90"/>
        <v>1.1775209221706717E-3</v>
      </c>
      <c r="E974" s="4">
        <f t="shared" si="91"/>
        <v>-1.3673554507826562E-3</v>
      </c>
      <c r="F974" s="6">
        <f t="shared" si="92"/>
        <v>2.5448763729533277E-3</v>
      </c>
      <c r="G974" s="4">
        <f t="shared" si="95"/>
        <v>8.8326109985014545E-3</v>
      </c>
      <c r="H974" s="4">
        <f t="shared" si="93"/>
        <v>0.28812277291336535</v>
      </c>
      <c r="I974" s="4">
        <f t="shared" si="94"/>
        <v>-0.96044589934031599</v>
      </c>
    </row>
    <row r="975" spans="1:9" x14ac:dyDescent="0.25">
      <c r="A975" s="3">
        <v>41591</v>
      </c>
      <c r="B975" s="4" t="s">
        <v>0</v>
      </c>
      <c r="C975" s="4">
        <v>514.30813290000003</v>
      </c>
      <c r="D975" s="6">
        <f t="shared" si="90"/>
        <v>2.0449103036565466E-2</v>
      </c>
      <c r="E975" s="4">
        <f t="shared" si="91"/>
        <v>4.0825000407167114E-4</v>
      </c>
      <c r="F975" s="6">
        <f t="shared" si="92"/>
        <v>2.0040853032493793E-2</v>
      </c>
      <c r="G975" s="4">
        <f t="shared" si="95"/>
        <v>1.1587116143706328E-2</v>
      </c>
      <c r="H975" s="4">
        <f t="shared" si="93"/>
        <v>1.7295807502006622</v>
      </c>
      <c r="I975" s="4">
        <f t="shared" si="94"/>
        <v>-2.414663318937015</v>
      </c>
    </row>
    <row r="976" spans="1:9" x14ac:dyDescent="0.25">
      <c r="A976" s="3">
        <v>41592</v>
      </c>
      <c r="B976" s="4" t="s">
        <v>0</v>
      </c>
      <c r="C976" s="4">
        <v>515.68295220000005</v>
      </c>
      <c r="D976" s="6">
        <f t="shared" si="90"/>
        <v>2.6731432230089332E-3</v>
      </c>
      <c r="E976" s="4">
        <f t="shared" si="91"/>
        <v>-1.1891741967223234E-3</v>
      </c>
      <c r="F976" s="6">
        <f t="shared" si="92"/>
        <v>3.8623174197312564E-3</v>
      </c>
      <c r="G976" s="4">
        <f t="shared" si="95"/>
        <v>5.9830139981609506E-2</v>
      </c>
      <c r="H976" s="4">
        <f t="shared" si="93"/>
        <v>6.4554711403290208E-2</v>
      </c>
      <c r="I976" s="4">
        <f t="shared" si="94"/>
        <v>-0.9210221885868537</v>
      </c>
    </row>
    <row r="977" spans="1:9" x14ac:dyDescent="0.25">
      <c r="A977" s="3">
        <v>41593</v>
      </c>
      <c r="B977" s="4" t="s">
        <v>0</v>
      </c>
      <c r="C977" s="4">
        <v>514.85110269999996</v>
      </c>
      <c r="D977" s="6">
        <f t="shared" si="90"/>
        <v>-1.6131025787283905E-3</v>
      </c>
      <c r="E977" s="4">
        <f t="shared" si="91"/>
        <v>8.1779389520612207E-3</v>
      </c>
      <c r="F977" s="6">
        <f t="shared" si="92"/>
        <v>-9.7910415307896105E-3</v>
      </c>
      <c r="G977" s="4">
        <f t="shared" si="95"/>
        <v>2.3480843168160202E-2</v>
      </c>
      <c r="H977" s="4">
        <f t="shared" si="93"/>
        <v>-0.41697998068766834</v>
      </c>
      <c r="I977" s="4">
        <f t="shared" si="94"/>
        <v>-1.0058746853518168</v>
      </c>
    </row>
    <row r="978" spans="1:9" x14ac:dyDescent="0.25">
      <c r="A978" s="3">
        <v>41596</v>
      </c>
      <c r="B978" s="4" t="s">
        <v>0</v>
      </c>
      <c r="C978" s="4">
        <v>513.84981919999996</v>
      </c>
      <c r="D978" s="6">
        <f t="shared" si="90"/>
        <v>-1.9448020888933402E-3</v>
      </c>
      <c r="E978" s="4">
        <f t="shared" si="91"/>
        <v>7.2844378773911167E-3</v>
      </c>
      <c r="F978" s="6">
        <f t="shared" si="92"/>
        <v>-9.2292399662844572E-3</v>
      </c>
      <c r="G978" s="4">
        <f t="shared" si="95"/>
        <v>1.762421229061728E-2</v>
      </c>
      <c r="H978" s="4">
        <f t="shared" si="93"/>
        <v>-0.52366822494517329</v>
      </c>
      <c r="I978" s="4">
        <f t="shared" si="94"/>
        <v>-1.0560527381132871</v>
      </c>
    </row>
    <row r="979" spans="1:9" x14ac:dyDescent="0.25">
      <c r="A979" s="3">
        <v>41597</v>
      </c>
      <c r="B979" s="4" t="s">
        <v>0</v>
      </c>
      <c r="C979" s="4">
        <v>510.68669740000001</v>
      </c>
      <c r="D979" s="6">
        <f t="shared" si="90"/>
        <v>-6.1557320481780611E-3</v>
      </c>
      <c r="E979" s="4">
        <f t="shared" si="91"/>
        <v>2.0196153796779419E-4</v>
      </c>
      <c r="F979" s="6">
        <f t="shared" si="92"/>
        <v>-6.3576935861458551E-3</v>
      </c>
      <c r="G979" s="4">
        <f t="shared" si="95"/>
        <v>1.9852772718005843E-2</v>
      </c>
      <c r="H979" s="4">
        <f t="shared" si="93"/>
        <v>-0.32024209799065628</v>
      </c>
      <c r="I979" s="4">
        <f t="shared" si="94"/>
        <v>-0.9702160338674013</v>
      </c>
    </row>
    <row r="980" spans="1:9" x14ac:dyDescent="0.25">
      <c r="A980" s="3">
        <v>41598</v>
      </c>
      <c r="B980" s="4" t="s">
        <v>0</v>
      </c>
      <c r="C980" s="4">
        <v>509.24708889999999</v>
      </c>
      <c r="D980" s="6">
        <f t="shared" si="90"/>
        <v>-2.8189661241017861E-3</v>
      </c>
      <c r="E980" s="4">
        <f t="shared" si="91"/>
        <v>-1.2375967687999557E-3</v>
      </c>
      <c r="F980" s="6">
        <f t="shared" si="92"/>
        <v>-1.5813693553018305E-3</v>
      </c>
      <c r="G980" s="4">
        <f t="shared" si="95"/>
        <v>1.4262530398228399E-2</v>
      </c>
      <c r="H980" s="4">
        <f t="shared" si="93"/>
        <v>-0.11087579210336043</v>
      </c>
      <c r="I980" s="4">
        <f t="shared" si="94"/>
        <v>-0.92508525384194651</v>
      </c>
    </row>
    <row r="981" spans="1:9" x14ac:dyDescent="0.25">
      <c r="A981" s="3">
        <v>41599</v>
      </c>
      <c r="B981" s="4" t="s">
        <v>0</v>
      </c>
      <c r="C981" s="4">
        <v>515.10513149999997</v>
      </c>
      <c r="D981" s="6">
        <f t="shared" si="90"/>
        <v>1.1503340377759744E-2</v>
      </c>
      <c r="E981" s="4">
        <f t="shared" si="91"/>
        <v>-2.9488647503497266E-3</v>
      </c>
      <c r="F981" s="6">
        <f t="shared" si="92"/>
        <v>1.445220512810947E-2</v>
      </c>
      <c r="G981" s="4">
        <f t="shared" si="95"/>
        <v>8.3040528004873909E-3</v>
      </c>
      <c r="H981" s="4">
        <f t="shared" si="93"/>
        <v>1.7403797248569066</v>
      </c>
      <c r="I981" s="4">
        <f t="shared" si="94"/>
        <v>-2.4333993265511737</v>
      </c>
    </row>
    <row r="982" spans="1:9" x14ac:dyDescent="0.25">
      <c r="A982" s="3">
        <v>41600</v>
      </c>
      <c r="B982" s="4" t="s">
        <v>0</v>
      </c>
      <c r="C982" s="4">
        <v>514.01919190000001</v>
      </c>
      <c r="D982" s="6">
        <f t="shared" si="90"/>
        <v>-2.1081902190290269E-3</v>
      </c>
      <c r="E982" s="4">
        <f t="shared" si="91"/>
        <v>-2.9626086518524165E-3</v>
      </c>
      <c r="F982" s="6">
        <f t="shared" si="92"/>
        <v>8.5441843282338956E-4</v>
      </c>
      <c r="G982" s="4">
        <f t="shared" si="95"/>
        <v>6.0119994488312824E-2</v>
      </c>
      <c r="H982" s="4">
        <f t="shared" si="93"/>
        <v>1.4211884749748046E-2</v>
      </c>
      <c r="I982" s="4">
        <f t="shared" si="94"/>
        <v>-0.91903952203874273</v>
      </c>
    </row>
    <row r="983" spans="1:9" x14ac:dyDescent="0.25">
      <c r="A983" s="3">
        <v>41603</v>
      </c>
      <c r="B983" s="4" t="s">
        <v>0</v>
      </c>
      <c r="C983" s="4">
        <v>521.01303919999998</v>
      </c>
      <c r="D983" s="6">
        <f t="shared" si="90"/>
        <v>1.360619877664138E-2</v>
      </c>
      <c r="E983" s="4">
        <f t="shared" si="91"/>
        <v>3.53413117947543E-3</v>
      </c>
      <c r="F983" s="6">
        <f t="shared" si="92"/>
        <v>1.0072067597165949E-2</v>
      </c>
      <c r="G983" s="4">
        <f t="shared" si="95"/>
        <v>2.3488939957461669E-2</v>
      </c>
      <c r="H983" s="4">
        <f t="shared" si="93"/>
        <v>0.42880043183755434</v>
      </c>
      <c r="I983" s="4">
        <f t="shared" si="94"/>
        <v>-1.0108734383767093</v>
      </c>
    </row>
    <row r="984" spans="1:9" x14ac:dyDescent="0.25">
      <c r="A984" s="3">
        <v>41604</v>
      </c>
      <c r="B984" s="4" t="s">
        <v>0</v>
      </c>
      <c r="C984" s="4">
        <v>527.2297251</v>
      </c>
      <c r="D984" s="6">
        <f t="shared" si="90"/>
        <v>1.1931919994834587E-2</v>
      </c>
      <c r="E984" s="4">
        <f t="shared" si="91"/>
        <v>2.7172782566925262E-3</v>
      </c>
      <c r="F984" s="6">
        <f t="shared" si="92"/>
        <v>9.2146417381420605E-3</v>
      </c>
      <c r="G984" s="4">
        <f t="shared" si="95"/>
        <v>1.7957820853513322E-2</v>
      </c>
      <c r="H984" s="4">
        <f t="shared" si="93"/>
        <v>0.51312694414919946</v>
      </c>
      <c r="I984" s="4">
        <f t="shared" si="94"/>
        <v>-1.0505881636106205</v>
      </c>
    </row>
    <row r="985" spans="1:9" x14ac:dyDescent="0.25">
      <c r="A985" s="3">
        <v>41605</v>
      </c>
      <c r="B985" s="4" t="s">
        <v>0</v>
      </c>
      <c r="C985" s="4">
        <v>529.57097650000003</v>
      </c>
      <c r="D985" s="6">
        <f t="shared" si="90"/>
        <v>4.4406665416218067E-3</v>
      </c>
      <c r="E985" s="4">
        <f t="shared" si="91"/>
        <v>4.5559677395351789E-3</v>
      </c>
      <c r="F985" s="6">
        <f t="shared" si="92"/>
        <v>-1.1530119791337227E-4</v>
      </c>
      <c r="G985" s="4">
        <f t="shared" si="95"/>
        <v>1.9569014450261608E-2</v>
      </c>
      <c r="H985" s="4">
        <f t="shared" si="93"/>
        <v>-5.8920288605454462E-3</v>
      </c>
      <c r="I985" s="4">
        <f t="shared" si="94"/>
        <v>-0.9189558912067195</v>
      </c>
    </row>
    <row r="986" spans="1:9" x14ac:dyDescent="0.25">
      <c r="A986" s="3">
        <v>41607</v>
      </c>
      <c r="B986" s="4" t="s">
        <v>0</v>
      </c>
      <c r="C986" s="4">
        <v>527.81749449999995</v>
      </c>
      <c r="D986" s="6">
        <f t="shared" si="90"/>
        <v>-3.3111368972466265E-3</v>
      </c>
      <c r="E986" s="4">
        <f t="shared" si="91"/>
        <v>8.7283423233865849E-3</v>
      </c>
      <c r="F986" s="6">
        <f t="shared" si="92"/>
        <v>-1.2039479220633212E-2</v>
      </c>
      <c r="G986" s="4">
        <f t="shared" si="95"/>
        <v>8.979488193967872E-3</v>
      </c>
      <c r="H986" s="4">
        <f t="shared" si="93"/>
        <v>-1.3407756612142931</v>
      </c>
      <c r="I986" s="4">
        <f t="shared" si="94"/>
        <v>-1.8177782200569852</v>
      </c>
    </row>
    <row r="987" spans="1:9" x14ac:dyDescent="0.25">
      <c r="A987" s="3">
        <v>41610</v>
      </c>
      <c r="B987" s="4" t="s">
        <v>0</v>
      </c>
      <c r="C987" s="4">
        <v>525.27207980000003</v>
      </c>
      <c r="D987" s="6">
        <f t="shared" si="90"/>
        <v>-4.8225281020879921E-3</v>
      </c>
      <c r="E987" s="4">
        <f t="shared" si="91"/>
        <v>5.3516851995349694E-3</v>
      </c>
      <c r="F987" s="6">
        <f t="shared" si="92"/>
        <v>-1.0174213301622961E-2</v>
      </c>
      <c r="G987" s="4">
        <f t="shared" si="95"/>
        <v>4.6486912022606297E-2</v>
      </c>
      <c r="H987" s="4">
        <f t="shared" si="93"/>
        <v>-0.2188618873345535</v>
      </c>
      <c r="I987" s="4">
        <f t="shared" si="94"/>
        <v>-0.94288879606849418</v>
      </c>
    </row>
    <row r="988" spans="1:9" x14ac:dyDescent="0.25">
      <c r="A988" s="3">
        <v>41611</v>
      </c>
      <c r="B988" s="4" t="s">
        <v>0</v>
      </c>
      <c r="C988" s="4">
        <v>524.6643517</v>
      </c>
      <c r="D988" s="6">
        <f t="shared" si="90"/>
        <v>-1.1569777328188217E-3</v>
      </c>
      <c r="E988" s="4">
        <f t="shared" si="91"/>
        <v>9.4088679259510168E-5</v>
      </c>
      <c r="F988" s="6">
        <f t="shared" si="92"/>
        <v>-1.2510664120783319E-3</v>
      </c>
      <c r="G988" s="4">
        <f t="shared" si="95"/>
        <v>1.9907496164463037E-2</v>
      </c>
      <c r="H988" s="4">
        <f t="shared" si="93"/>
        <v>-6.2843986091611875E-2</v>
      </c>
      <c r="I988" s="4">
        <f t="shared" si="94"/>
        <v>-0.92091321649861402</v>
      </c>
    </row>
    <row r="989" spans="1:9" x14ac:dyDescent="0.25">
      <c r="A989" s="3">
        <v>41612</v>
      </c>
      <c r="B989" s="4" t="s">
        <v>0</v>
      </c>
      <c r="C989" s="4">
        <v>527.1151615</v>
      </c>
      <c r="D989" s="6">
        <f t="shared" si="90"/>
        <v>4.6711955787713984E-3</v>
      </c>
      <c r="E989" s="4">
        <f t="shared" si="91"/>
        <v>-2.8576184070071686E-3</v>
      </c>
      <c r="F989" s="6">
        <f t="shared" si="92"/>
        <v>7.5288139857785669E-3</v>
      </c>
      <c r="G989" s="4">
        <f t="shared" si="95"/>
        <v>9.3383463902122019E-3</v>
      </c>
      <c r="H989" s="4">
        <f t="shared" si="93"/>
        <v>0.80622560688793254</v>
      </c>
      <c r="I989" s="4">
        <f t="shared" si="94"/>
        <v>-1.2439383978055802</v>
      </c>
    </row>
    <row r="990" spans="1:9" x14ac:dyDescent="0.25">
      <c r="A990" s="3">
        <v>41613</v>
      </c>
      <c r="B990" s="4" t="s">
        <v>0</v>
      </c>
      <c r="C990" s="4">
        <v>526.69670389999999</v>
      </c>
      <c r="D990" s="6">
        <f t="shared" si="90"/>
        <v>-7.9386371435269496E-4</v>
      </c>
      <c r="E990" s="4">
        <f t="shared" si="91"/>
        <v>-1.9191050167612707E-3</v>
      </c>
      <c r="F990" s="6">
        <f t="shared" si="92"/>
        <v>1.1252413024085757E-3</v>
      </c>
      <c r="G990" s="4">
        <f t="shared" si="95"/>
        <v>2.838420732048888E-2</v>
      </c>
      <c r="H990" s="4">
        <f t="shared" si="93"/>
        <v>3.9643217430853903E-2</v>
      </c>
      <c r="I990" s="4">
        <f t="shared" si="94"/>
        <v>-0.91972432554880768</v>
      </c>
    </row>
    <row r="991" spans="1:9" x14ac:dyDescent="0.25">
      <c r="A991" s="3">
        <v>41614</v>
      </c>
      <c r="B991" s="4" t="s">
        <v>0</v>
      </c>
      <c r="C991" s="4">
        <v>532.9383527</v>
      </c>
      <c r="D991" s="6">
        <f t="shared" si="90"/>
        <v>1.1850556029272329E-2</v>
      </c>
      <c r="E991" s="4">
        <f t="shared" si="91"/>
        <v>1.4313581218780205E-3</v>
      </c>
      <c r="F991" s="6">
        <f t="shared" si="92"/>
        <v>1.0419197907394309E-2</v>
      </c>
      <c r="G991" s="4">
        <f t="shared" si="95"/>
        <v>1.2001972943762833E-2</v>
      </c>
      <c r="H991" s="4">
        <f t="shared" si="93"/>
        <v>0.86812376233600341</v>
      </c>
      <c r="I991" s="4">
        <f t="shared" si="94"/>
        <v>-1.2957579665708816</v>
      </c>
    </row>
    <row r="992" spans="1:9" x14ac:dyDescent="0.25">
      <c r="A992" s="3">
        <v>41617</v>
      </c>
      <c r="B992" s="4" t="s">
        <v>0</v>
      </c>
      <c r="C992" s="4">
        <v>537.05792750000001</v>
      </c>
      <c r="D992" s="6">
        <f t="shared" si="90"/>
        <v>7.7299274468223302E-3</v>
      </c>
      <c r="E992" s="4">
        <f t="shared" si="91"/>
        <v>1.1273233927342919E-3</v>
      </c>
      <c r="F992" s="6">
        <f t="shared" si="92"/>
        <v>6.6026040540880385E-3</v>
      </c>
      <c r="G992" s="4">
        <f t="shared" si="95"/>
        <v>3.0601099119916656E-2</v>
      </c>
      <c r="H992" s="4">
        <f t="shared" si="93"/>
        <v>0.21576362431344007</v>
      </c>
      <c r="I992" s="4">
        <f t="shared" si="94"/>
        <v>-0.94221550399310827</v>
      </c>
    </row>
    <row r="993" spans="1:9" x14ac:dyDescent="0.25">
      <c r="A993" s="3">
        <v>41618</v>
      </c>
      <c r="B993" s="4" t="s">
        <v>0</v>
      </c>
      <c r="C993" s="4">
        <v>540.30573600000002</v>
      </c>
      <c r="D993" s="6">
        <f t="shared" si="90"/>
        <v>6.0474081727431893E-3</v>
      </c>
      <c r="E993" s="4">
        <f t="shared" si="91"/>
        <v>4.2872533634299619E-3</v>
      </c>
      <c r="F993" s="6">
        <f t="shared" si="92"/>
        <v>1.7601548093132274E-3</v>
      </c>
      <c r="G993" s="4">
        <f t="shared" si="95"/>
        <v>1.47058804735349E-2</v>
      </c>
      <c r="H993" s="4">
        <f t="shared" si="93"/>
        <v>0.11969054232970611</v>
      </c>
      <c r="I993" s="4">
        <f t="shared" si="94"/>
        <v>-0.92610144616626222</v>
      </c>
    </row>
    <row r="994" spans="1:9" x14ac:dyDescent="0.25">
      <c r="A994" s="3">
        <v>41619</v>
      </c>
      <c r="B994" s="4" t="s">
        <v>0</v>
      </c>
      <c r="C994" s="4">
        <v>536.63446529999999</v>
      </c>
      <c r="D994" s="6">
        <f t="shared" si="90"/>
        <v>-6.7948023783335077E-3</v>
      </c>
      <c r="E994" s="4">
        <f t="shared" si="91"/>
        <v>6.5843705613635554E-3</v>
      </c>
      <c r="F994" s="6">
        <f t="shared" si="92"/>
        <v>-1.3379172939697063E-2</v>
      </c>
      <c r="G994" s="4">
        <f t="shared" si="95"/>
        <v>8.5574947227840484E-3</v>
      </c>
      <c r="H994" s="4">
        <f t="shared" si="93"/>
        <v>-1.563445070445145</v>
      </c>
      <c r="I994" s="4">
        <f t="shared" si="94"/>
        <v>-2.141118777354285</v>
      </c>
    </row>
    <row r="995" spans="1:9" x14ac:dyDescent="0.25">
      <c r="A995" s="3">
        <v>41620</v>
      </c>
      <c r="B995" s="4" t="s">
        <v>0</v>
      </c>
      <c r="C995" s="4">
        <v>532.98315279999997</v>
      </c>
      <c r="D995" s="6">
        <f t="shared" si="90"/>
        <v>-6.8040961512950693E-3</v>
      </c>
      <c r="E995" s="4">
        <f t="shared" si="91"/>
        <v>4.6789699456005248E-3</v>
      </c>
      <c r="F995" s="6">
        <f t="shared" si="92"/>
        <v>-1.1483066096895594E-2</v>
      </c>
      <c r="G995" s="4">
        <f t="shared" si="95"/>
        <v>5.4075893274916915E-2</v>
      </c>
      <c r="H995" s="4">
        <f t="shared" si="93"/>
        <v>-0.21235092758462135</v>
      </c>
      <c r="I995" s="4">
        <f t="shared" si="94"/>
        <v>-0.94148499142769715</v>
      </c>
    </row>
    <row r="996" spans="1:9" x14ac:dyDescent="0.25">
      <c r="A996" s="3">
        <v>41621</v>
      </c>
      <c r="B996" s="4" t="s">
        <v>0</v>
      </c>
      <c r="C996" s="4">
        <v>528.41527380000002</v>
      </c>
      <c r="D996" s="6">
        <f t="shared" si="90"/>
        <v>-8.5704003513109705E-3</v>
      </c>
      <c r="E996" s="4">
        <f t="shared" si="91"/>
        <v>-7.4561568669051417E-4</v>
      </c>
      <c r="F996" s="6">
        <f t="shared" si="92"/>
        <v>-7.8247846646204572E-3</v>
      </c>
      <c r="G996" s="4">
        <f t="shared" si="95"/>
        <v>2.245444778605736E-2</v>
      </c>
      <c r="H996" s="4">
        <f t="shared" si="93"/>
        <v>-0.348473707266099</v>
      </c>
      <c r="I996" s="4">
        <f t="shared" si="94"/>
        <v>-0.97965549553256215</v>
      </c>
    </row>
    <row r="997" spans="1:9" x14ac:dyDescent="0.25">
      <c r="A997" s="3">
        <v>41624</v>
      </c>
      <c r="B997" s="4" t="s">
        <v>0</v>
      </c>
      <c r="C997" s="4">
        <v>534.48754989999998</v>
      </c>
      <c r="D997" s="6">
        <f t="shared" si="90"/>
        <v>1.1491484824676454E-2</v>
      </c>
      <c r="E997" s="4">
        <f t="shared" si="91"/>
        <v>-4.682159219084962E-3</v>
      </c>
      <c r="F997" s="6">
        <f t="shared" si="92"/>
        <v>1.6173644043761416E-2</v>
      </c>
      <c r="G997" s="4">
        <f t="shared" si="95"/>
        <v>1.5548975509884813E-2</v>
      </c>
      <c r="H997" s="4">
        <f t="shared" si="93"/>
        <v>1.0401742567206107</v>
      </c>
      <c r="I997" s="4">
        <f t="shared" si="94"/>
        <v>-1.4599197753768101</v>
      </c>
    </row>
    <row r="998" spans="1:9" x14ac:dyDescent="0.25">
      <c r="A998" s="3">
        <v>41625</v>
      </c>
      <c r="B998" s="4" t="s">
        <v>0</v>
      </c>
      <c r="C998" s="4">
        <v>532.93334800000002</v>
      </c>
      <c r="D998" s="6">
        <f t="shared" si="90"/>
        <v>-2.9078355525600855E-3</v>
      </c>
      <c r="E998" s="4">
        <f t="shared" si="91"/>
        <v>-5.3598256040524369E-3</v>
      </c>
      <c r="F998" s="6">
        <f t="shared" si="92"/>
        <v>2.4519900514923514E-3</v>
      </c>
      <c r="G998" s="4">
        <f t="shared" si="95"/>
        <v>3.6587985498333413E-2</v>
      </c>
      <c r="H998" s="4">
        <f t="shared" si="93"/>
        <v>6.7016262800367626E-2</v>
      </c>
      <c r="I998" s="4">
        <f t="shared" si="94"/>
        <v>-0.92118412294453667</v>
      </c>
    </row>
    <row r="999" spans="1:9" x14ac:dyDescent="0.25">
      <c r="A999" s="3">
        <v>41626</v>
      </c>
      <c r="B999" s="4" t="s">
        <v>0</v>
      </c>
      <c r="C999" s="4">
        <v>540.35053600000003</v>
      </c>
      <c r="D999" s="6">
        <f t="shared" si="90"/>
        <v>1.3917665366288938E-2</v>
      </c>
      <c r="E999" s="4">
        <f t="shared" si="91"/>
        <v>1.7681935999444656E-3</v>
      </c>
      <c r="F999" s="6">
        <f t="shared" si="92"/>
        <v>1.2149471766344472E-2</v>
      </c>
      <c r="G999" s="4">
        <f t="shared" si="95"/>
        <v>1.500569935636965E-2</v>
      </c>
      <c r="H999" s="4">
        <f t="shared" si="93"/>
        <v>0.80965714944750244</v>
      </c>
      <c r="I999" s="4">
        <f t="shared" si="94"/>
        <v>-1.2467108830304003</v>
      </c>
    </row>
    <row r="1000" spans="1:9" x14ac:dyDescent="0.25">
      <c r="A1000" s="3">
        <v>41627</v>
      </c>
      <c r="B1000" s="4" t="s">
        <v>0</v>
      </c>
      <c r="C1000" s="4">
        <v>541.08283719999997</v>
      </c>
      <c r="D1000" s="6">
        <f t="shared" si="90"/>
        <v>1.355233595992839E-3</v>
      </c>
      <c r="E1000" s="4">
        <f t="shared" si="91"/>
        <v>2.4079659045574868E-3</v>
      </c>
      <c r="F1000" s="6">
        <f t="shared" si="92"/>
        <v>-1.0527323085646478E-3</v>
      </c>
      <c r="G1000" s="4">
        <f t="shared" si="95"/>
        <v>2.8849978021945361E-2</v>
      </c>
      <c r="H1000" s="4">
        <f t="shared" si="93"/>
        <v>-3.6489882514429098E-2</v>
      </c>
      <c r="I1000" s="4">
        <f t="shared" si="94"/>
        <v>-0.91960428896763113</v>
      </c>
    </row>
    <row r="1001" spans="1:9" x14ac:dyDescent="0.25">
      <c r="A1001" s="3">
        <v>41628</v>
      </c>
      <c r="B1001" s="4" t="s">
        <v>0</v>
      </c>
      <c r="C1001" s="4">
        <v>548.25594509999996</v>
      </c>
      <c r="D1001" s="6">
        <f t="shared" si="90"/>
        <v>1.3256949595961036E-2</v>
      </c>
      <c r="E1001" s="4">
        <f t="shared" si="91"/>
        <v>4.4299302561005144E-3</v>
      </c>
      <c r="F1001" s="6">
        <f t="shared" si="92"/>
        <v>8.8270193398605219E-3</v>
      </c>
      <c r="G1001" s="4">
        <f t="shared" si="95"/>
        <v>1.2151063317939515E-2</v>
      </c>
      <c r="H1001" s="4">
        <f t="shared" si="93"/>
        <v>0.72644007432901281</v>
      </c>
      <c r="I1001" s="4">
        <f t="shared" si="94"/>
        <v>-1.1827961240002436</v>
      </c>
    </row>
    <row r="1002" spans="1:9" x14ac:dyDescent="0.25">
      <c r="A1002" s="3">
        <v>41631</v>
      </c>
      <c r="B1002" s="4" t="s">
        <v>0</v>
      </c>
      <c r="C1002" s="4">
        <v>555.46890919999998</v>
      </c>
      <c r="D1002" s="6">
        <f t="shared" si="90"/>
        <v>1.3156198604803824E-2</v>
      </c>
      <c r="E1002" s="4">
        <f t="shared" si="91"/>
        <v>4.780658585073724E-3</v>
      </c>
      <c r="F1002" s="6">
        <f t="shared" si="92"/>
        <v>8.3755400197301003E-3</v>
      </c>
      <c r="G1002" s="4">
        <f t="shared" si="95"/>
        <v>2.5883497244599193E-2</v>
      </c>
      <c r="H1002" s="4">
        <f t="shared" si="93"/>
        <v>0.32358610355398271</v>
      </c>
      <c r="I1002" s="4">
        <f t="shared" si="94"/>
        <v>-0.9712925164112971</v>
      </c>
    </row>
    <row r="1003" spans="1:9" x14ac:dyDescent="0.25">
      <c r="A1003" s="3">
        <v>41632</v>
      </c>
      <c r="B1003" s="4" t="s">
        <v>0</v>
      </c>
      <c r="C1003" s="4">
        <v>553.84500500000001</v>
      </c>
      <c r="D1003" s="6">
        <f t="shared" si="90"/>
        <v>-2.9234835165459698E-3</v>
      </c>
      <c r="E1003" s="4">
        <f t="shared" si="91"/>
        <v>5.483162726743096E-3</v>
      </c>
      <c r="F1003" s="6">
        <f t="shared" si="92"/>
        <v>-8.4066462432890662E-3</v>
      </c>
      <c r="G1003" s="4">
        <f t="shared" si="95"/>
        <v>1.5689425603129383E-2</v>
      </c>
      <c r="H1003" s="4">
        <f t="shared" si="93"/>
        <v>-0.53581606210059674</v>
      </c>
      <c r="I1003" s="4">
        <f t="shared" si="94"/>
        <v>-1.0624879594071679</v>
      </c>
    </row>
    <row r="1004" spans="1:9" x14ac:dyDescent="0.25">
      <c r="A1004" s="3">
        <v>41634</v>
      </c>
      <c r="B1004" s="4" t="s">
        <v>0</v>
      </c>
      <c r="C1004" s="4">
        <v>556.64450920000002</v>
      </c>
      <c r="D1004" s="6">
        <f t="shared" si="90"/>
        <v>5.0546708460429308E-3</v>
      </c>
      <c r="E1004" s="4">
        <f t="shared" si="91"/>
        <v>9.0892529738638289E-3</v>
      </c>
      <c r="F1004" s="6">
        <f t="shared" si="92"/>
        <v>-4.0345821278208981E-3</v>
      </c>
      <c r="G1004" s="4">
        <f t="shared" si="95"/>
        <v>1.999875701338057E-2</v>
      </c>
      <c r="H1004" s="4">
        <f t="shared" si="93"/>
        <v>-0.20174164449927962</v>
      </c>
      <c r="I1004" s="4">
        <f t="shared" si="94"/>
        <v>-0.93928837876730953</v>
      </c>
    </row>
    <row r="1005" spans="1:9" x14ac:dyDescent="0.25">
      <c r="A1005" s="3">
        <v>41635</v>
      </c>
      <c r="B1005" s="4" t="s">
        <v>0</v>
      </c>
      <c r="C1005" s="4">
        <v>557.11277159999997</v>
      </c>
      <c r="D1005" s="6">
        <f t="shared" si="90"/>
        <v>8.4122342403581145E-4</v>
      </c>
      <c r="E1005" s="4">
        <f t="shared" si="91"/>
        <v>2.911629029719288E-3</v>
      </c>
      <c r="F1005" s="6">
        <f t="shared" si="92"/>
        <v>-2.0704056056834765E-3</v>
      </c>
      <c r="G1005" s="4">
        <f t="shared" si="95"/>
        <v>1.1452814104933541E-2</v>
      </c>
      <c r="H1005" s="4">
        <f t="shared" si="93"/>
        <v>-0.18077702010299856</v>
      </c>
      <c r="I1005" s="4">
        <f t="shared" si="94"/>
        <v>-0.93527869870333258</v>
      </c>
    </row>
    <row r="1006" spans="1:9" x14ac:dyDescent="0.25">
      <c r="A1006" s="3">
        <v>41638</v>
      </c>
      <c r="B1006" s="4" t="s">
        <v>0</v>
      </c>
      <c r="C1006" s="4">
        <v>552.65945620000002</v>
      </c>
      <c r="D1006" s="6">
        <f t="shared" si="90"/>
        <v>-7.9935618550087302E-3</v>
      </c>
      <c r="E1006" s="4">
        <f t="shared" si="91"/>
        <v>1.0369891448499357E-3</v>
      </c>
      <c r="F1006" s="6">
        <f t="shared" si="92"/>
        <v>-9.0305509998586664E-3</v>
      </c>
      <c r="G1006" s="4">
        <f t="shared" si="95"/>
        <v>9.0841382411396693E-3</v>
      </c>
      <c r="H1006" s="4">
        <f t="shared" si="93"/>
        <v>-0.99410100992977846</v>
      </c>
      <c r="I1006" s="4">
        <f t="shared" si="94"/>
        <v>-1.4130569421763755</v>
      </c>
    </row>
    <row r="1007" spans="1:9" x14ac:dyDescent="0.25">
      <c r="A1007" s="3">
        <v>41639</v>
      </c>
      <c r="B1007" s="4" t="s">
        <v>0</v>
      </c>
      <c r="C1007" s="4">
        <v>558.26346950000004</v>
      </c>
      <c r="D1007" s="6">
        <f t="shared" si="90"/>
        <v>1.014008398324049E-2</v>
      </c>
      <c r="E1007" s="4">
        <f t="shared" si="91"/>
        <v>1.8694264878414918E-3</v>
      </c>
      <c r="F1007" s="6">
        <f t="shared" si="92"/>
        <v>8.2706574953989986E-3</v>
      </c>
      <c r="G1007" s="4">
        <f t="shared" si="95"/>
        <v>3.4708922984306625E-2</v>
      </c>
      <c r="H1007" s="4">
        <f t="shared" si="93"/>
        <v>0.23828620378507606</v>
      </c>
      <c r="I1007" s="4">
        <f t="shared" si="94"/>
        <v>-0.94732869066182401</v>
      </c>
    </row>
    <row r="1008" spans="1:9" x14ac:dyDescent="0.25">
      <c r="A1008" s="3">
        <v>41641</v>
      </c>
      <c r="B1008" s="4" t="s">
        <v>0</v>
      </c>
      <c r="C1008" s="4">
        <v>554.48264040000004</v>
      </c>
      <c r="D1008" s="6">
        <f t="shared" si="90"/>
        <v>-6.7724816445293226E-3</v>
      </c>
      <c r="E1008" s="4">
        <f t="shared" si="91"/>
        <v>-2.7979432311028237E-3</v>
      </c>
      <c r="F1008" s="6">
        <f t="shared" si="92"/>
        <v>-3.9745384134264993E-3</v>
      </c>
      <c r="G1008" s="4">
        <f t="shared" si="95"/>
        <v>1.6353700064354815E-2</v>
      </c>
      <c r="H1008" s="4">
        <f t="shared" si="93"/>
        <v>-0.24303603452343875</v>
      </c>
      <c r="I1008" s="4">
        <f t="shared" si="94"/>
        <v>-0.94847179024311179</v>
      </c>
    </row>
    <row r="1009" spans="1:9" x14ac:dyDescent="0.25">
      <c r="A1009" s="3">
        <v>41642</v>
      </c>
      <c r="B1009" s="4" t="s">
        <v>0</v>
      </c>
      <c r="C1009" s="4">
        <v>550.43777260000002</v>
      </c>
      <c r="D1009" s="6">
        <f t="shared" si="90"/>
        <v>-7.2948501996060325E-3</v>
      </c>
      <c r="E1009" s="4">
        <f t="shared" si="91"/>
        <v>1.4281619162031219E-3</v>
      </c>
      <c r="F1009" s="6">
        <f t="shared" si="92"/>
        <v>-8.7230121158091544E-3</v>
      </c>
      <c r="G1009" s="4">
        <f t="shared" si="95"/>
        <v>1.155696678021147E-2</v>
      </c>
      <c r="H1009" s="4">
        <f t="shared" si="93"/>
        <v>-0.75478387034435523</v>
      </c>
      <c r="I1009" s="4">
        <f t="shared" si="94"/>
        <v>-1.203787878670675</v>
      </c>
    </row>
    <row r="1010" spans="1:9" x14ac:dyDescent="0.25">
      <c r="A1010" s="3">
        <v>41645</v>
      </c>
      <c r="B1010" s="4" t="s">
        <v>0</v>
      </c>
      <c r="C1010" s="4">
        <v>556.57480699999996</v>
      </c>
      <c r="D1010" s="6">
        <f t="shared" si="90"/>
        <v>1.114937002054126E-2</v>
      </c>
      <c r="E1010" s="4">
        <f t="shared" si="91"/>
        <v>5.1629827127149973E-4</v>
      </c>
      <c r="F1010" s="6">
        <f t="shared" si="92"/>
        <v>1.063307174926976E-2</v>
      </c>
      <c r="G1010" s="4">
        <f t="shared" si="95"/>
        <v>2.6786545849527141E-2</v>
      </c>
      <c r="H1010" s="4">
        <f t="shared" si="93"/>
        <v>0.39695568846393325</v>
      </c>
      <c r="I1010" s="4">
        <f t="shared" si="94"/>
        <v>-0.99772544250661033</v>
      </c>
    </row>
    <row r="1011" spans="1:9" x14ac:dyDescent="0.25">
      <c r="A1011" s="3">
        <v>41646</v>
      </c>
      <c r="B1011" s="4" t="s">
        <v>0</v>
      </c>
      <c r="C1011" s="4">
        <v>567.30456170000002</v>
      </c>
      <c r="D1011" s="6">
        <f t="shared" si="90"/>
        <v>1.9278189679181899E-2</v>
      </c>
      <c r="E1011" s="4">
        <f t="shared" si="91"/>
        <v>-4.8625341202506583E-3</v>
      </c>
      <c r="F1011" s="6">
        <f t="shared" si="92"/>
        <v>2.4140723799432558E-2</v>
      </c>
      <c r="G1011" s="4">
        <f t="shared" si="95"/>
        <v>1.7764179681267225E-2</v>
      </c>
      <c r="H1011" s="4">
        <f t="shared" si="93"/>
        <v>1.3589551689172317</v>
      </c>
      <c r="I1011" s="4">
        <f t="shared" si="94"/>
        <v>-1.8423181087681035</v>
      </c>
    </row>
    <row r="1012" spans="1:9" x14ac:dyDescent="0.25">
      <c r="A1012" s="3">
        <v>41647</v>
      </c>
      <c r="B1012" s="4" t="s">
        <v>0</v>
      </c>
      <c r="C1012" s="4">
        <v>568.48516649999999</v>
      </c>
      <c r="D1012" s="6">
        <f t="shared" si="90"/>
        <v>2.0810775722693597E-3</v>
      </c>
      <c r="E1012" s="4">
        <f t="shared" si="91"/>
        <v>2.0284939996610277E-3</v>
      </c>
      <c r="F1012" s="6">
        <f t="shared" si="92"/>
        <v>5.2583572608331988E-5</v>
      </c>
      <c r="G1012" s="4">
        <f t="shared" si="95"/>
        <v>4.7468632235522237E-2</v>
      </c>
      <c r="H1012" s="4">
        <f t="shared" si="93"/>
        <v>1.1077541132306333E-3</v>
      </c>
      <c r="I1012" s="4">
        <f t="shared" si="94"/>
        <v>-0.91893914676426036</v>
      </c>
    </row>
    <row r="1013" spans="1:9" x14ac:dyDescent="0.25">
      <c r="A1013" s="3">
        <v>41648</v>
      </c>
      <c r="B1013" s="4" t="s">
        <v>0</v>
      </c>
      <c r="C1013" s="4">
        <v>563.01066979999996</v>
      </c>
      <c r="D1013" s="6">
        <f t="shared" si="90"/>
        <v>-9.6299728165379177E-3</v>
      </c>
      <c r="E1013" s="4">
        <f t="shared" si="91"/>
        <v>1.078421211430531E-2</v>
      </c>
      <c r="F1013" s="6">
        <f t="shared" si="92"/>
        <v>-2.0414184930843227E-2</v>
      </c>
      <c r="G1013" s="4">
        <f t="shared" si="95"/>
        <v>1.8792080500840885E-2</v>
      </c>
      <c r="H1013" s="4">
        <f t="shared" si="93"/>
        <v>-1.0863185122014434</v>
      </c>
      <c r="I1013" s="4">
        <f t="shared" si="94"/>
        <v>-1.5089824881804514</v>
      </c>
    </row>
    <row r="1014" spans="1:9" x14ac:dyDescent="0.25">
      <c r="A1014" s="3">
        <v>41649</v>
      </c>
      <c r="B1014" s="4" t="s">
        <v>0</v>
      </c>
      <c r="C1014" s="4">
        <v>562.98076289999995</v>
      </c>
      <c r="D1014" s="6">
        <f t="shared" si="90"/>
        <v>-5.3119597201663024E-5</v>
      </c>
      <c r="E1014" s="4">
        <f t="shared" si="91"/>
        <v>6.6993483394577483E-3</v>
      </c>
      <c r="F1014" s="6">
        <f t="shared" si="92"/>
        <v>-6.7524679366594113E-3</v>
      </c>
      <c r="G1014" s="4">
        <f t="shared" si="95"/>
        <v>3.8351985480904884E-2</v>
      </c>
      <c r="H1014" s="4">
        <f t="shared" si="93"/>
        <v>-0.17606566783931971</v>
      </c>
      <c r="I1014" s="4">
        <f t="shared" si="94"/>
        <v>-0.93443809290052549</v>
      </c>
    </row>
    <row r="1015" spans="1:9" x14ac:dyDescent="0.25">
      <c r="A1015" s="3">
        <v>41652</v>
      </c>
      <c r="B1015" s="4" t="s">
        <v>0</v>
      </c>
      <c r="C1015" s="4">
        <v>559.39420870000004</v>
      </c>
      <c r="D1015" s="6">
        <f t="shared" si="90"/>
        <v>-6.370651426036337E-3</v>
      </c>
      <c r="E1015" s="4">
        <f t="shared" si="91"/>
        <v>-3.0440049224107783E-3</v>
      </c>
      <c r="F1015" s="6">
        <f t="shared" si="92"/>
        <v>-3.3266465036255587E-3</v>
      </c>
      <c r="G1015" s="4">
        <f t="shared" si="95"/>
        <v>1.6606080500225613E-2</v>
      </c>
      <c r="H1015" s="4">
        <f t="shared" si="93"/>
        <v>-0.20032701296253275</v>
      </c>
      <c r="I1015" s="4">
        <f t="shared" si="94"/>
        <v>-0.9390039892659181</v>
      </c>
    </row>
    <row r="1016" spans="1:9" x14ac:dyDescent="0.25">
      <c r="A1016" s="3">
        <v>41653</v>
      </c>
      <c r="B1016" s="4" t="s">
        <v>0</v>
      </c>
      <c r="C1016" s="4">
        <v>572.554937</v>
      </c>
      <c r="D1016" s="6">
        <f t="shared" si="90"/>
        <v>2.3526751073424116E-2</v>
      </c>
      <c r="E1016" s="4">
        <f t="shared" si="91"/>
        <v>-2.9696344097010336E-3</v>
      </c>
      <c r="F1016" s="6">
        <f t="shared" si="92"/>
        <v>2.6496385483125148E-2</v>
      </c>
      <c r="G1016" s="4">
        <f t="shared" si="95"/>
        <v>1.0601772374677819E-2</v>
      </c>
      <c r="H1016" s="4">
        <f t="shared" si="93"/>
        <v>2.4992411218346269</v>
      </c>
      <c r="I1016" s="4">
        <f t="shared" si="94"/>
        <v>-4.0420416257392748</v>
      </c>
    </row>
    <row r="1017" spans="1:9" x14ac:dyDescent="0.25">
      <c r="A1017" s="3">
        <v>41654</v>
      </c>
      <c r="B1017" s="4" t="s">
        <v>0</v>
      </c>
      <c r="C1017" s="4">
        <v>572.16638639999996</v>
      </c>
      <c r="D1017" s="6">
        <f t="shared" si="90"/>
        <v>-6.7862588354561772E-4</v>
      </c>
      <c r="E1017" s="4">
        <f t="shared" si="91"/>
        <v>-2.4511650961405018E-3</v>
      </c>
      <c r="F1017" s="6">
        <f t="shared" si="92"/>
        <v>1.772539212594884E-3</v>
      </c>
      <c r="G1017" s="4">
        <f t="shared" si="95"/>
        <v>8.6156431025842667E-2</v>
      </c>
      <c r="H1017" s="4">
        <f t="shared" si="93"/>
        <v>2.0573498594239702E-2</v>
      </c>
      <c r="I1017" s="4">
        <f t="shared" si="94"/>
        <v>-0.9191501676268764</v>
      </c>
    </row>
    <row r="1018" spans="1:9" x14ac:dyDescent="0.25">
      <c r="A1018" s="3">
        <v>41655</v>
      </c>
      <c r="B1018" s="4" t="s">
        <v>0</v>
      </c>
      <c r="C1018" s="4">
        <v>575.95215940000003</v>
      </c>
      <c r="D1018" s="6">
        <f t="shared" si="90"/>
        <v>6.6165596057113345E-3</v>
      </c>
      <c r="E1018" s="4">
        <f t="shared" si="91"/>
        <v>7.042748319486529E-3</v>
      </c>
      <c r="F1018" s="6">
        <f t="shared" si="92"/>
        <v>-4.2618871377519442E-4</v>
      </c>
      <c r="G1018" s="4">
        <f t="shared" si="95"/>
        <v>3.3271354540651381E-2</v>
      </c>
      <c r="H1018" s="4">
        <f t="shared" si="93"/>
        <v>-1.2809478894358552E-2</v>
      </c>
      <c r="I1018" s="4">
        <f t="shared" si="94"/>
        <v>-0.91902057457944519</v>
      </c>
    </row>
    <row r="1019" spans="1:9" x14ac:dyDescent="0.25">
      <c r="A1019" s="3">
        <v>41656</v>
      </c>
      <c r="B1019" s="4" t="s">
        <v>0</v>
      </c>
      <c r="C1019" s="4">
        <v>573.11780380000005</v>
      </c>
      <c r="D1019" s="6">
        <f t="shared" si="90"/>
        <v>-4.9211649852180074E-3</v>
      </c>
      <c r="E1019" s="4">
        <f t="shared" si="91"/>
        <v>6.945827320865519E-3</v>
      </c>
      <c r="F1019" s="6">
        <f t="shared" si="92"/>
        <v>-1.1866992306083526E-2</v>
      </c>
      <c r="G1019" s="4">
        <f t="shared" si="95"/>
        <v>1.364893436921317E-2</v>
      </c>
      <c r="H1019" s="4">
        <f t="shared" si="93"/>
        <v>-0.86944460168633897</v>
      </c>
      <c r="I1019" s="4">
        <f t="shared" si="94"/>
        <v>-1.2969054909054309</v>
      </c>
    </row>
    <row r="1020" spans="1:9" x14ac:dyDescent="0.25">
      <c r="A1020" s="3">
        <v>41660</v>
      </c>
      <c r="B1020" s="4" t="s">
        <v>0</v>
      </c>
      <c r="C1020" s="4">
        <v>579.67824010000004</v>
      </c>
      <c r="D1020" s="6">
        <f t="shared" si="90"/>
        <v>1.1446924622654677E-2</v>
      </c>
      <c r="E1020" s="4">
        <f t="shared" si="91"/>
        <v>2.3214441247071662E-3</v>
      </c>
      <c r="F1020" s="6">
        <f t="shared" si="92"/>
        <v>9.1254804979475114E-3</v>
      </c>
      <c r="G1020" s="4">
        <f t="shared" si="95"/>
        <v>3.0745663230718149E-2</v>
      </c>
      <c r="H1020" s="4">
        <f t="shared" si="93"/>
        <v>0.29680545283635962</v>
      </c>
      <c r="I1020" s="4">
        <f t="shared" si="94"/>
        <v>-0.96298527162137082</v>
      </c>
    </row>
    <row r="1021" spans="1:9" x14ac:dyDescent="0.25">
      <c r="A1021" s="3">
        <v>41661</v>
      </c>
      <c r="B1021" s="4" t="s">
        <v>0</v>
      </c>
      <c r="C1021" s="4">
        <v>580.33577309999998</v>
      </c>
      <c r="D1021" s="6">
        <f t="shared" si="90"/>
        <v>1.1343068525161704E-3</v>
      </c>
      <c r="E1021" s="4">
        <f t="shared" si="91"/>
        <v>1.4530585764269783E-4</v>
      </c>
      <c r="F1021" s="6">
        <f t="shared" si="92"/>
        <v>9.8900099487347253E-4</v>
      </c>
      <c r="G1021" s="4">
        <f t="shared" si="95"/>
        <v>1.6329320113056513E-2</v>
      </c>
      <c r="H1021" s="4">
        <f t="shared" si="93"/>
        <v>6.0565962821850262E-2</v>
      </c>
      <c r="I1021" s="4">
        <f t="shared" si="94"/>
        <v>-0.92077265113094153</v>
      </c>
    </row>
    <row r="1022" spans="1:9" x14ac:dyDescent="0.25">
      <c r="A1022" s="3">
        <v>41662</v>
      </c>
      <c r="B1022" s="4" t="s">
        <v>0</v>
      </c>
      <c r="C1022" s="4">
        <v>577.88496329999998</v>
      </c>
      <c r="D1022" s="6">
        <f t="shared" si="90"/>
        <v>-4.2230893107078771E-3</v>
      </c>
      <c r="E1022" s="4">
        <f t="shared" si="91"/>
        <v>2.8688264076316382E-3</v>
      </c>
      <c r="F1022" s="6">
        <f t="shared" si="92"/>
        <v>-7.0919157183395153E-3</v>
      </c>
      <c r="G1022" s="4">
        <f t="shared" si="95"/>
        <v>8.2448582626553739E-3</v>
      </c>
      <c r="H1022" s="4">
        <f t="shared" si="93"/>
        <v>-0.86016223595521979</v>
      </c>
      <c r="I1022" s="4">
        <f t="shared" si="94"/>
        <v>-1.2888780692864144</v>
      </c>
    </row>
    <row r="1023" spans="1:9" x14ac:dyDescent="0.25">
      <c r="A1023" s="3">
        <v>41663</v>
      </c>
      <c r="B1023" s="4" t="s">
        <v>0</v>
      </c>
      <c r="C1023" s="4">
        <v>559.81761019999999</v>
      </c>
      <c r="D1023" s="6">
        <f t="shared" si="90"/>
        <v>-3.1264618821065612E-2</v>
      </c>
      <c r="E1023" s="4">
        <f t="shared" si="91"/>
        <v>3.9391834609740469E-3</v>
      </c>
      <c r="F1023" s="6">
        <f t="shared" si="92"/>
        <v>-3.5203802282039662E-2</v>
      </c>
      <c r="G1023" s="4">
        <f t="shared" si="95"/>
        <v>3.0150966642806473E-2</v>
      </c>
      <c r="H1023" s="4">
        <f t="shared" si="93"/>
        <v>-1.1675845321675189</v>
      </c>
      <c r="I1023" s="4">
        <f t="shared" si="94"/>
        <v>-1.6005653530830946</v>
      </c>
    </row>
    <row r="1024" spans="1:9" x14ac:dyDescent="0.25">
      <c r="A1024" s="3">
        <v>41666</v>
      </c>
      <c r="B1024" s="4" t="s">
        <v>0</v>
      </c>
      <c r="C1024" s="4">
        <v>548.55977829999995</v>
      </c>
      <c r="D1024" s="6">
        <f t="shared" si="90"/>
        <v>-2.010982093967726E-2</v>
      </c>
      <c r="E1024" s="4">
        <f t="shared" si="91"/>
        <v>-1.2676405898693964E-3</v>
      </c>
      <c r="F1024" s="6">
        <f t="shared" si="92"/>
        <v>-1.8842180349807863E-2</v>
      </c>
      <c r="G1024" s="4">
        <f t="shared" si="95"/>
        <v>4.2051794862585805E-2</v>
      </c>
      <c r="H1024" s="4">
        <f t="shared" si="93"/>
        <v>-0.44807077584629024</v>
      </c>
      <c r="I1024" s="4">
        <f t="shared" si="94"/>
        <v>-1.019322243288421</v>
      </c>
    </row>
    <row r="1025" spans="1:9" x14ac:dyDescent="0.25">
      <c r="A1025" s="3">
        <v>41667</v>
      </c>
      <c r="B1025" s="4" t="s">
        <v>0</v>
      </c>
      <c r="C1025" s="4">
        <v>559.4091621</v>
      </c>
      <c r="D1025" s="6">
        <f t="shared" si="90"/>
        <v>1.9777942585624046E-2</v>
      </c>
      <c r="E1025" s="4">
        <f t="shared" si="91"/>
        <v>-1.3245546652099479E-2</v>
      </c>
      <c r="F1025" s="6">
        <f t="shared" si="92"/>
        <v>3.3023489237723525E-2</v>
      </c>
      <c r="G1025" s="4">
        <f t="shared" si="95"/>
        <v>2.2797889450621722E-2</v>
      </c>
      <c r="H1025" s="4">
        <f t="shared" si="93"/>
        <v>1.4485327384909721</v>
      </c>
      <c r="I1025" s="4">
        <f t="shared" si="94"/>
        <v>-1.9680620804447502</v>
      </c>
    </row>
    <row r="1026" spans="1:9" x14ac:dyDescent="0.25">
      <c r="A1026" s="3">
        <v>41668</v>
      </c>
      <c r="B1026" s="4" t="s">
        <v>0</v>
      </c>
      <c r="C1026" s="4">
        <v>551.39419520000001</v>
      </c>
      <c r="D1026" s="6">
        <f t="shared" si="90"/>
        <v>-1.4327557435620324E-2</v>
      </c>
      <c r="E1026" s="4">
        <f t="shared" si="91"/>
        <v>-1.7262029720676572E-2</v>
      </c>
      <c r="F1026" s="6">
        <f t="shared" si="92"/>
        <v>2.9344722850562482E-3</v>
      </c>
      <c r="G1026" s="4">
        <f t="shared" si="95"/>
        <v>5.0795993939293245E-2</v>
      </c>
      <c r="H1026" s="4">
        <f t="shared" si="93"/>
        <v>5.7769758153827303E-2</v>
      </c>
      <c r="I1026" s="4">
        <f t="shared" si="94"/>
        <v>-0.9206072056832485</v>
      </c>
    </row>
    <row r="1027" spans="1:9" x14ac:dyDescent="0.25">
      <c r="A1027" s="3">
        <v>41669</v>
      </c>
      <c r="B1027" s="4" t="s">
        <v>0</v>
      </c>
      <c r="C1027" s="4">
        <v>565.57604309999999</v>
      </c>
      <c r="D1027" s="6">
        <f t="shared" si="90"/>
        <v>2.5719980412300104E-2</v>
      </c>
      <c r="E1027" s="4">
        <f t="shared" si="91"/>
        <v>1.4017327084590832E-3</v>
      </c>
      <c r="F1027" s="6">
        <f t="shared" si="92"/>
        <v>2.4318247703841021E-2</v>
      </c>
      <c r="G1027" s="4">
        <f t="shared" si="95"/>
        <v>2.0117927886818331E-2</v>
      </c>
      <c r="H1027" s="4">
        <f t="shared" si="93"/>
        <v>1.2087849126735772</v>
      </c>
      <c r="I1027" s="4">
        <f t="shared" si="94"/>
        <v>-1.6495190157583064</v>
      </c>
    </row>
    <row r="1028" spans="1:9" x14ac:dyDescent="0.25">
      <c r="A1028" s="3">
        <v>41670</v>
      </c>
      <c r="B1028" s="4" t="s">
        <v>0</v>
      </c>
      <c r="C1028" s="4">
        <v>588.28097700000001</v>
      </c>
      <c r="D1028" s="6">
        <f t="shared" ref="D1028:D1091" si="96">(C1028-C1027)/C1027</f>
        <v>4.0144794280095659E-2</v>
      </c>
      <c r="E1028" s="4">
        <f t="shared" si="91"/>
        <v>5.804256301780086E-4</v>
      </c>
      <c r="F1028" s="6">
        <f t="shared" si="92"/>
        <v>3.956436864991765E-2</v>
      </c>
      <c r="G1028" s="4">
        <f t="shared" si="95"/>
        <v>4.2550729701167869E-2</v>
      </c>
      <c r="H1028" s="4">
        <f t="shared" si="93"/>
        <v>0.92981645503559363</v>
      </c>
      <c r="I1028" s="4">
        <f t="shared" si="94"/>
        <v>-1.3512178532321517</v>
      </c>
    </row>
    <row r="1029" spans="1:9" x14ac:dyDescent="0.25">
      <c r="A1029" s="3">
        <v>41673</v>
      </c>
      <c r="B1029" s="4" t="s">
        <v>0</v>
      </c>
      <c r="C1029" s="4">
        <v>564.59972310000001</v>
      </c>
      <c r="D1029" s="6">
        <f t="shared" si="96"/>
        <v>-4.0255005390051904E-2</v>
      </c>
      <c r="E1029" s="4">
        <f t="shared" si="91"/>
        <v>5.4451707213517501E-3</v>
      </c>
      <c r="F1029" s="6">
        <f t="shared" si="92"/>
        <v>-4.5700176111403652E-2</v>
      </c>
      <c r="G1029" s="4">
        <f t="shared" si="95"/>
        <v>3.6198940871737313E-2</v>
      </c>
      <c r="H1029" s="4">
        <f t="shared" si="93"/>
        <v>-1.2624727412144956</v>
      </c>
      <c r="I1029" s="4">
        <f t="shared" si="94"/>
        <v>-1.7158572443594939</v>
      </c>
    </row>
    <row r="1030" spans="1:9" x14ac:dyDescent="0.25">
      <c r="A1030" s="3">
        <v>41674</v>
      </c>
      <c r="B1030" s="4" t="s">
        <v>0</v>
      </c>
      <c r="C1030" s="4">
        <v>566.95586719999994</v>
      </c>
      <c r="D1030" s="6">
        <f t="shared" si="96"/>
        <v>4.1731230172470796E-3</v>
      </c>
      <c r="E1030" s="4">
        <f t="shared" si="91"/>
        <v>2.3222516323972157E-2</v>
      </c>
      <c r="F1030" s="6">
        <f t="shared" si="92"/>
        <v>-1.9049393306725077E-2</v>
      </c>
      <c r="G1030" s="4">
        <f t="shared" si="95"/>
        <v>4.5818486660813278E-2</v>
      </c>
      <c r="H1030" s="4">
        <f t="shared" si="93"/>
        <v>-0.41575780203620871</v>
      </c>
      <c r="I1030" s="4">
        <f t="shared" si="94"/>
        <v>-1.0053658081816623</v>
      </c>
    </row>
    <row r="1031" spans="1:9" x14ac:dyDescent="0.25">
      <c r="A1031" s="3">
        <v>41675</v>
      </c>
      <c r="B1031" s="4" t="s">
        <v>0</v>
      </c>
      <c r="C1031" s="4">
        <v>569.46649179999997</v>
      </c>
      <c r="D1031" s="6">
        <f t="shared" si="96"/>
        <v>4.4282540233671801E-3</v>
      </c>
      <c r="E1031" s="4">
        <f t="shared" ref="E1031:E1094" si="97">+$M$16*D1030+$M$17*D1029+$M$18*D1028</f>
        <v>-3.0941364330073842E-3</v>
      </c>
      <c r="F1031" s="6">
        <f t="shared" ref="F1031:F1094" si="98">D1031-E1031</f>
        <v>7.5223904563745643E-3</v>
      </c>
      <c r="G1031" s="4">
        <f t="shared" si="95"/>
        <v>2.3129807810471945E-2</v>
      </c>
      <c r="H1031" s="4">
        <f t="shared" ref="H1031:H1094" si="99">F1031/G1031</f>
        <v>0.32522494428029042</v>
      </c>
      <c r="I1031" s="4">
        <f t="shared" ref="I1031:I1094" si="100">LN(_xlfn.NORM.DIST(H1031,0,1,FALSE))</f>
        <v>-0.97182416539573169</v>
      </c>
    </row>
    <row r="1032" spans="1:9" x14ac:dyDescent="0.25">
      <c r="A1032" s="3">
        <v>41676</v>
      </c>
      <c r="B1032" s="4" t="s">
        <v>0</v>
      </c>
      <c r="C1032" s="4">
        <v>577.81519979999996</v>
      </c>
      <c r="D1032" s="6">
        <f t="shared" si="96"/>
        <v>1.4660578137988326E-2</v>
      </c>
      <c r="E1032" s="4">
        <f t="shared" si="97"/>
        <v>-1.0732797683629615E-2</v>
      </c>
      <c r="F1032" s="6">
        <f t="shared" si="98"/>
        <v>2.5393375821617943E-2</v>
      </c>
      <c r="G1032" s="4">
        <f t="shared" ref="G1032:G1095" si="101">SQRT($M$12 + $M$13 *H1031^2+$M$14*G1031^2)</f>
        <v>1.5091279861853024E-2</v>
      </c>
      <c r="H1032" s="4">
        <f t="shared" si="99"/>
        <v>1.6826522371906996</v>
      </c>
      <c r="I1032" s="4">
        <f t="shared" si="100"/>
        <v>-2.3345978088661061</v>
      </c>
    </row>
    <row r="1033" spans="1:9" x14ac:dyDescent="0.25">
      <c r="A1033" s="3">
        <v>41677</v>
      </c>
      <c r="B1033" s="4" t="s">
        <v>0</v>
      </c>
      <c r="C1033" s="4">
        <v>586.52255100000002</v>
      </c>
      <c r="D1033" s="6">
        <f t="shared" si="96"/>
        <v>1.5069439507672956E-2</v>
      </c>
      <c r="E1033" s="4">
        <f t="shared" si="97"/>
        <v>2.9711508507903397E-3</v>
      </c>
      <c r="F1033" s="6">
        <f t="shared" si="98"/>
        <v>1.2098288656882616E-2</v>
      </c>
      <c r="G1033" s="4">
        <f t="shared" si="101"/>
        <v>5.8344030347057783E-2</v>
      </c>
      <c r="H1033" s="4">
        <f t="shared" si="99"/>
        <v>0.20736120876319813</v>
      </c>
      <c r="I1033" s="4">
        <f t="shared" si="100"/>
        <v>-0.94043786865454004</v>
      </c>
    </row>
    <row r="1034" spans="1:9" x14ac:dyDescent="0.25">
      <c r="A1034" s="3">
        <v>41680</v>
      </c>
      <c r="B1034" s="4" t="s">
        <v>0</v>
      </c>
      <c r="C1034" s="4">
        <v>584.27596519999997</v>
      </c>
      <c r="D1034" s="6">
        <f t="shared" si="96"/>
        <v>-3.8303485452855978E-3</v>
      </c>
      <c r="E1034" s="4">
        <f t="shared" si="97"/>
        <v>6.9608983159180505E-3</v>
      </c>
      <c r="F1034" s="6">
        <f t="shared" si="98"/>
        <v>-1.0791246861203647E-2</v>
      </c>
      <c r="G1034" s="4">
        <f t="shared" si="101"/>
        <v>2.3909180832472617E-2</v>
      </c>
      <c r="H1034" s="4">
        <f t="shared" si="99"/>
        <v>-0.45134322822751632</v>
      </c>
      <c r="I1034" s="4">
        <f t="shared" si="100"/>
        <v>-1.0207938880380907</v>
      </c>
    </row>
    <row r="1035" spans="1:9" x14ac:dyDescent="0.25">
      <c r="A1035" s="3">
        <v>41681</v>
      </c>
      <c r="B1035" s="4" t="s">
        <v>0</v>
      </c>
      <c r="C1035" s="4">
        <v>592.86881459999995</v>
      </c>
      <c r="D1035" s="6">
        <f t="shared" si="96"/>
        <v>1.4706833605689413E-2</v>
      </c>
      <c r="E1035" s="4">
        <f t="shared" si="97"/>
        <v>1.0250491417125125E-2</v>
      </c>
      <c r="F1035" s="6">
        <f t="shared" si="98"/>
        <v>4.4563421885642877E-3</v>
      </c>
      <c r="G1035" s="4">
        <f t="shared" si="101"/>
        <v>1.8677096102716027E-2</v>
      </c>
      <c r="H1035" s="4">
        <f t="shared" si="99"/>
        <v>0.2385993070901555</v>
      </c>
      <c r="I1035" s="4">
        <f t="shared" si="100"/>
        <v>-0.94740334787662372</v>
      </c>
    </row>
    <row r="1036" spans="1:9" x14ac:dyDescent="0.25">
      <c r="A1036" s="3">
        <v>41682</v>
      </c>
      <c r="B1036" s="4" t="s">
        <v>0</v>
      </c>
      <c r="C1036" s="4">
        <v>591.13028610000003</v>
      </c>
      <c r="D1036" s="6">
        <f t="shared" si="96"/>
        <v>-2.932399979872235E-3</v>
      </c>
      <c r="E1036" s="4">
        <f t="shared" si="97"/>
        <v>3.1510806798438172E-3</v>
      </c>
      <c r="F1036" s="6">
        <f t="shared" si="98"/>
        <v>-6.0834806597160522E-3</v>
      </c>
      <c r="G1036" s="4">
        <f t="shared" si="101"/>
        <v>1.1954021248944425E-2</v>
      </c>
      <c r="H1036" s="4">
        <f t="shared" si="99"/>
        <v>-0.50890662924438435</v>
      </c>
      <c r="I1036" s="4">
        <f t="shared" si="100"/>
        <v>-1.0484315118491132</v>
      </c>
    </row>
    <row r="1037" spans="1:9" x14ac:dyDescent="0.25">
      <c r="A1037" s="3">
        <v>41683</v>
      </c>
      <c r="B1037" s="4" t="s">
        <v>0</v>
      </c>
      <c r="C1037" s="4">
        <v>597.71068060000005</v>
      </c>
      <c r="D1037" s="6">
        <f t="shared" si="96"/>
        <v>1.1131885228575181E-2</v>
      </c>
      <c r="E1037" s="4">
        <f t="shared" si="97"/>
        <v>4.4490054749053067E-3</v>
      </c>
      <c r="F1037" s="6">
        <f t="shared" si="98"/>
        <v>6.682879753669874E-3</v>
      </c>
      <c r="G1037" s="4">
        <f t="shared" si="101"/>
        <v>1.8753109480696802E-2</v>
      </c>
      <c r="H1037" s="4">
        <f t="shared" si="99"/>
        <v>0.35636115496199622</v>
      </c>
      <c r="I1037" s="4">
        <f t="shared" si="100"/>
        <v>-0.98243516958759669</v>
      </c>
    </row>
    <row r="1038" spans="1:9" x14ac:dyDescent="0.25">
      <c r="A1038" s="3">
        <v>41684</v>
      </c>
      <c r="B1038" s="4" t="s">
        <v>0</v>
      </c>
      <c r="C1038" s="4">
        <v>599.15526299999999</v>
      </c>
      <c r="D1038" s="6">
        <f t="shared" si="96"/>
        <v>2.4168589367515223E-3</v>
      </c>
      <c r="E1038" s="4">
        <f t="shared" si="97"/>
        <v>3.3832273954517607E-3</v>
      </c>
      <c r="F1038" s="6">
        <f t="shared" si="98"/>
        <v>-9.6636845870023838E-4</v>
      </c>
      <c r="G1038" s="4">
        <f t="shared" si="101"/>
        <v>1.5037102207877387E-2</v>
      </c>
      <c r="H1038" s="4">
        <f t="shared" si="99"/>
        <v>-6.4265604192940404E-2</v>
      </c>
      <c r="I1038" s="4">
        <f t="shared" si="100"/>
        <v>-0.92100356714581444</v>
      </c>
    </row>
    <row r="1039" spans="1:9" x14ac:dyDescent="0.25">
      <c r="A1039" s="3">
        <v>41688</v>
      </c>
      <c r="B1039" s="4" t="s">
        <v>0</v>
      </c>
      <c r="C1039" s="4">
        <v>603.18017259999999</v>
      </c>
      <c r="D1039" s="6">
        <f t="shared" si="96"/>
        <v>6.7176403989962132E-3</v>
      </c>
      <c r="E1039" s="4">
        <f t="shared" si="97"/>
        <v>3.3574827281707773E-3</v>
      </c>
      <c r="F1039" s="6">
        <f t="shared" si="98"/>
        <v>3.3601576708254359E-3</v>
      </c>
      <c r="G1039" s="4">
        <f t="shared" si="101"/>
        <v>7.9130885606011215E-3</v>
      </c>
      <c r="H1039" s="4">
        <f t="shared" si="99"/>
        <v>0.42463289082286981</v>
      </c>
      <c r="I1039" s="4">
        <f t="shared" si="100"/>
        <v>-1.0090950791889663</v>
      </c>
    </row>
    <row r="1040" spans="1:9" x14ac:dyDescent="0.25">
      <c r="A1040" s="3">
        <v>41689</v>
      </c>
      <c r="B1040" s="4" t="s">
        <v>0</v>
      </c>
      <c r="C1040" s="4">
        <v>598.92613679999999</v>
      </c>
      <c r="D1040" s="6">
        <f t="shared" si="96"/>
        <v>-7.0526784421030171E-3</v>
      </c>
      <c r="E1040" s="4">
        <f t="shared" si="97"/>
        <v>4.3332137725555263E-3</v>
      </c>
      <c r="F1040" s="6">
        <f t="shared" si="98"/>
        <v>-1.1385892214658543E-2</v>
      </c>
      <c r="G1040" s="4">
        <f t="shared" si="101"/>
        <v>1.5716379704692671E-2</v>
      </c>
      <c r="H1040" s="4">
        <f t="shared" si="99"/>
        <v>-0.72446024011871446</v>
      </c>
      <c r="I1040" s="4">
        <f t="shared" si="100"/>
        <v>-1.1813598529611054</v>
      </c>
    </row>
    <row r="1041" spans="1:9" x14ac:dyDescent="0.25">
      <c r="A1041" s="3">
        <v>41690</v>
      </c>
      <c r="B1041" s="4" t="s">
        <v>0</v>
      </c>
      <c r="C1041" s="4">
        <v>599.80779110000003</v>
      </c>
      <c r="D1041" s="6">
        <f t="shared" si="96"/>
        <v>1.4720584823875338E-3</v>
      </c>
      <c r="E1041" s="4">
        <f t="shared" si="97"/>
        <v>3.3080416544803049E-3</v>
      </c>
      <c r="F1041" s="6">
        <f t="shared" si="98"/>
        <v>-1.835983172092771E-3</v>
      </c>
      <c r="G1041" s="4">
        <f t="shared" si="101"/>
        <v>2.60967281726113E-2</v>
      </c>
      <c r="H1041" s="4">
        <f t="shared" si="99"/>
        <v>-7.0353002106204571E-2</v>
      </c>
      <c r="I1041" s="4">
        <f t="shared" si="100"/>
        <v>-0.92141330565735036</v>
      </c>
    </row>
    <row r="1042" spans="1:9" x14ac:dyDescent="0.25">
      <c r="A1042" s="3">
        <v>41691</v>
      </c>
      <c r="B1042" s="4" t="s">
        <v>0</v>
      </c>
      <c r="C1042" s="4">
        <v>599.64842799999997</v>
      </c>
      <c r="D1042" s="6">
        <f t="shared" si="96"/>
        <v>-2.6569028006089224E-4</v>
      </c>
      <c r="E1042" s="4">
        <f t="shared" si="97"/>
        <v>-6.3877072031148785E-4</v>
      </c>
      <c r="F1042" s="6">
        <f t="shared" si="98"/>
        <v>3.7308044025059561E-4</v>
      </c>
      <c r="G1042" s="4">
        <f t="shared" si="101"/>
        <v>1.1396436077326166E-2</v>
      </c>
      <c r="H1042" s="4">
        <f t="shared" si="99"/>
        <v>3.2736588677302336E-2</v>
      </c>
      <c r="I1042" s="4">
        <f t="shared" si="100"/>
        <v>-0.91947437532378617</v>
      </c>
    </row>
    <row r="1043" spans="1:9" x14ac:dyDescent="0.25">
      <c r="A1043" s="3">
        <v>41694</v>
      </c>
      <c r="B1043" s="4" t="s">
        <v>0</v>
      </c>
      <c r="C1043" s="4">
        <v>603.99212469999998</v>
      </c>
      <c r="D1043" s="6">
        <f t="shared" si="96"/>
        <v>7.2437389930087668E-3</v>
      </c>
      <c r="E1043" s="4">
        <f t="shared" si="97"/>
        <v>-1.5971663237825185E-3</v>
      </c>
      <c r="F1043" s="6">
        <f t="shared" si="98"/>
        <v>8.8409053167912855E-3</v>
      </c>
      <c r="G1043" s="4">
        <f t="shared" si="101"/>
        <v>6.706619984142557E-3</v>
      </c>
      <c r="H1043" s="4">
        <f t="shared" si="99"/>
        <v>1.3182356146158769</v>
      </c>
      <c r="I1043" s="4">
        <f t="shared" si="100"/>
        <v>-1.787811101025522</v>
      </c>
    </row>
    <row r="1044" spans="1:9" x14ac:dyDescent="0.25">
      <c r="A1044" s="3">
        <v>41695</v>
      </c>
      <c r="B1044" s="4" t="s">
        <v>0</v>
      </c>
      <c r="C1044" s="4">
        <v>607.72314889999996</v>
      </c>
      <c r="D1044" s="6">
        <f t="shared" si="96"/>
        <v>6.1772729269494384E-3</v>
      </c>
      <c r="E1044" s="4">
        <f t="shared" si="97"/>
        <v>3.4939817011397808E-4</v>
      </c>
      <c r="F1044" s="6">
        <f t="shared" si="98"/>
        <v>5.82787475683546E-3</v>
      </c>
      <c r="G1044" s="4">
        <f t="shared" si="101"/>
        <v>4.5661880218208141E-2</v>
      </c>
      <c r="H1044" s="4">
        <f t="shared" si="99"/>
        <v>0.12763107276759786</v>
      </c>
      <c r="I1044" s="4">
        <f t="shared" si="100"/>
        <v>-0.92708337857257672</v>
      </c>
    </row>
    <row r="1045" spans="1:9" x14ac:dyDescent="0.25">
      <c r="A1045" s="3">
        <v>41696</v>
      </c>
      <c r="B1045" s="4" t="s">
        <v>0</v>
      </c>
      <c r="C1045" s="4">
        <v>607.8078051</v>
      </c>
      <c r="D1045" s="6">
        <f t="shared" si="96"/>
        <v>1.3930060119195892E-4</v>
      </c>
      <c r="E1045" s="4">
        <f t="shared" si="97"/>
        <v>2.6878861822785243E-3</v>
      </c>
      <c r="F1045" s="6">
        <f t="shared" si="98"/>
        <v>-2.5485855810865655E-3</v>
      </c>
      <c r="G1045" s="4">
        <f t="shared" si="101"/>
        <v>1.8651326422793161E-2</v>
      </c>
      <c r="H1045" s="4">
        <f t="shared" si="99"/>
        <v>-0.13664366401158604</v>
      </c>
      <c r="I1045" s="4">
        <f t="shared" si="100"/>
        <v>-0.92827427866192824</v>
      </c>
    </row>
    <row r="1046" spans="1:9" x14ac:dyDescent="0.25">
      <c r="A1046" s="3">
        <v>41697</v>
      </c>
      <c r="B1046" s="4" t="s">
        <v>0</v>
      </c>
      <c r="C1046" s="4">
        <v>607.32965490000004</v>
      </c>
      <c r="D1046" s="6">
        <f t="shared" si="96"/>
        <v>-7.8667992741766641E-4</v>
      </c>
      <c r="E1046" s="4">
        <f t="shared" si="97"/>
        <v>4.5798569357226471E-3</v>
      </c>
      <c r="F1046" s="6">
        <f t="shared" si="98"/>
        <v>-5.3665368631403134E-3</v>
      </c>
      <c r="G1046" s="4">
        <f t="shared" si="101"/>
        <v>9.8764863426962033E-3</v>
      </c>
      <c r="H1046" s="4">
        <f t="shared" si="99"/>
        <v>-0.54336498598096483</v>
      </c>
      <c r="I1046" s="4">
        <f t="shared" si="100"/>
        <v>-1.0665612871997199</v>
      </c>
    </row>
    <row r="1047" spans="1:9" x14ac:dyDescent="0.25">
      <c r="A1047" s="3">
        <v>41698</v>
      </c>
      <c r="B1047" s="4" t="s">
        <v>0</v>
      </c>
      <c r="C1047" s="4">
        <v>605.55627489999995</v>
      </c>
      <c r="D1047" s="6">
        <f t="shared" si="96"/>
        <v>-2.9199628005849385E-3</v>
      </c>
      <c r="E1047" s="4">
        <f t="shared" si="97"/>
        <v>1.9450394898358413E-3</v>
      </c>
      <c r="F1047" s="6">
        <f t="shared" si="98"/>
        <v>-4.8650022904207797E-3</v>
      </c>
      <c r="G1047" s="4">
        <f t="shared" si="101"/>
        <v>1.9695724087978723E-2</v>
      </c>
      <c r="H1047" s="4">
        <f t="shared" si="99"/>
        <v>-0.24700804442067362</v>
      </c>
      <c r="I1047" s="4">
        <f t="shared" si="100"/>
        <v>-0.94944502020893551</v>
      </c>
    </row>
    <row r="1048" spans="1:9" x14ac:dyDescent="0.25">
      <c r="A1048" s="3">
        <v>41701</v>
      </c>
      <c r="B1048" s="4" t="s">
        <v>0</v>
      </c>
      <c r="C1048" s="4">
        <v>599.10045339999999</v>
      </c>
      <c r="D1048" s="6">
        <f t="shared" si="96"/>
        <v>-1.0660976968764883E-2</v>
      </c>
      <c r="E1048" s="4">
        <f t="shared" si="97"/>
        <v>-2.5812866925198488E-4</v>
      </c>
      <c r="F1048" s="6">
        <f t="shared" si="98"/>
        <v>-1.0402848299512898E-2</v>
      </c>
      <c r="G1048" s="4">
        <f t="shared" si="101"/>
        <v>1.2386295433898542E-2</v>
      </c>
      <c r="H1048" s="4">
        <f t="shared" si="99"/>
        <v>-0.83986760650344339</v>
      </c>
      <c r="I1048" s="4">
        <f t="shared" si="100"/>
        <v>-1.271627331431584</v>
      </c>
    </row>
    <row r="1049" spans="1:9" x14ac:dyDescent="0.25">
      <c r="A1049" s="3">
        <v>41702</v>
      </c>
      <c r="B1049" s="4" t="s">
        <v>0</v>
      </c>
      <c r="C1049" s="4">
        <v>605.18762219999996</v>
      </c>
      <c r="D1049" s="6">
        <f t="shared" si="96"/>
        <v>1.0160514427011736E-2</v>
      </c>
      <c r="E1049" s="4">
        <f t="shared" si="97"/>
        <v>-1.3573767827414255E-3</v>
      </c>
      <c r="F1049" s="6">
        <f t="shared" si="98"/>
        <v>1.1517891209753162E-2</v>
      </c>
      <c r="G1049" s="4">
        <f t="shared" si="101"/>
        <v>2.9677566710708727E-2</v>
      </c>
      <c r="H1049" s="4">
        <f t="shared" si="99"/>
        <v>0.38810092896184428</v>
      </c>
      <c r="I1049" s="4">
        <f t="shared" si="100"/>
        <v>-0.99424969873519597</v>
      </c>
    </row>
    <row r="1050" spans="1:9" x14ac:dyDescent="0.25">
      <c r="A1050" s="3">
        <v>41703</v>
      </c>
      <c r="B1050" s="4" t="s">
        <v>0</v>
      </c>
      <c r="C1050" s="4">
        <v>606.85638730000005</v>
      </c>
      <c r="D1050" s="6">
        <f t="shared" si="96"/>
        <v>2.7574342877895149E-3</v>
      </c>
      <c r="E1050" s="4">
        <f t="shared" si="97"/>
        <v>-4.9695117856628961E-3</v>
      </c>
      <c r="F1050" s="6">
        <f t="shared" si="98"/>
        <v>7.726946073452411E-3</v>
      </c>
      <c r="G1050" s="4">
        <f t="shared" si="101"/>
        <v>1.8197213928271633E-2</v>
      </c>
      <c r="H1050" s="4">
        <f t="shared" si="99"/>
        <v>0.42462247813922988</v>
      </c>
      <c r="I1050" s="4">
        <f t="shared" si="100"/>
        <v>-1.009090657675223</v>
      </c>
    </row>
    <row r="1051" spans="1:9" x14ac:dyDescent="0.25">
      <c r="A1051" s="3">
        <v>41704</v>
      </c>
      <c r="B1051" s="4" t="s">
        <v>0</v>
      </c>
      <c r="C1051" s="4">
        <v>607.5288736</v>
      </c>
      <c r="D1051" s="6">
        <f t="shared" si="96"/>
        <v>1.1081473542561588E-3</v>
      </c>
      <c r="E1051" s="4">
        <f t="shared" si="97"/>
        <v>6.1926087066945966E-4</v>
      </c>
      <c r="F1051" s="6">
        <f t="shared" si="98"/>
        <v>4.8888648358669912E-4</v>
      </c>
      <c r="G1051" s="4">
        <f t="shared" si="101"/>
        <v>1.6915203452157138E-2</v>
      </c>
      <c r="H1051" s="4">
        <f t="shared" si="99"/>
        <v>2.8902193518952509E-2</v>
      </c>
      <c r="I1051" s="4">
        <f t="shared" si="100"/>
        <v>-0.91935620159977616</v>
      </c>
    </row>
    <row r="1052" spans="1:9" x14ac:dyDescent="0.25">
      <c r="A1052" s="3">
        <v>41705</v>
      </c>
      <c r="B1052" s="4" t="s">
        <v>0</v>
      </c>
      <c r="C1052" s="4">
        <v>605.12786870000002</v>
      </c>
      <c r="D1052" s="6">
        <f t="shared" si="96"/>
        <v>-3.9520836034878052E-3</v>
      </c>
      <c r="E1052" s="4">
        <f t="shared" si="97"/>
        <v>4.1658120037381761E-3</v>
      </c>
      <c r="F1052" s="6">
        <f t="shared" si="98"/>
        <v>-8.1178956072259813E-3</v>
      </c>
      <c r="G1052" s="4">
        <f t="shared" si="101"/>
        <v>8.2138960784381848E-3</v>
      </c>
      <c r="H1052" s="4">
        <f t="shared" si="99"/>
        <v>-0.98831243172601013</v>
      </c>
      <c r="I1052" s="4">
        <f t="shared" si="100"/>
        <v>-1.4073192645567623</v>
      </c>
    </row>
    <row r="1053" spans="1:9" x14ac:dyDescent="0.25">
      <c r="A1053" s="3">
        <v>41708</v>
      </c>
      <c r="B1053" s="4" t="s">
        <v>0</v>
      </c>
      <c r="C1053" s="4">
        <v>603.52386190000004</v>
      </c>
      <c r="D1053" s="6">
        <f t="shared" si="96"/>
        <v>-2.6506906770727267E-3</v>
      </c>
      <c r="E1053" s="4">
        <f t="shared" si="97"/>
        <v>1.2680130113385203E-3</v>
      </c>
      <c r="F1053" s="6">
        <f t="shared" si="98"/>
        <v>-3.9187036884112472E-3</v>
      </c>
      <c r="G1053" s="4">
        <f t="shared" si="101"/>
        <v>3.4481213904964766E-2</v>
      </c>
      <c r="H1053" s="4">
        <f t="shared" si="99"/>
        <v>-0.1136474980031667</v>
      </c>
      <c r="I1053" s="4">
        <f t="shared" si="100"/>
        <v>-0.9253964101058626</v>
      </c>
    </row>
    <row r="1054" spans="1:9" x14ac:dyDescent="0.25">
      <c r="A1054" s="3">
        <v>41709</v>
      </c>
      <c r="B1054" s="4" t="s">
        <v>0</v>
      </c>
      <c r="C1054" s="4">
        <v>597.75548070000002</v>
      </c>
      <c r="D1054" s="6">
        <f t="shared" si="96"/>
        <v>-9.5578345184896846E-3</v>
      </c>
      <c r="E1054" s="4">
        <f t="shared" si="97"/>
        <v>-1.1714798618989652E-3</v>
      </c>
      <c r="F1054" s="6">
        <f t="shared" si="98"/>
        <v>-8.3863546565907197E-3</v>
      </c>
      <c r="G1054" s="4">
        <f t="shared" si="101"/>
        <v>1.4605083455757603E-2</v>
      </c>
      <c r="H1054" s="4">
        <f t="shared" si="99"/>
        <v>-0.57420792438434565</v>
      </c>
      <c r="I1054" s="4">
        <f t="shared" si="100"/>
        <v>-1.0837959034175617</v>
      </c>
    </row>
    <row r="1055" spans="1:9" x14ac:dyDescent="0.25">
      <c r="A1055" s="3">
        <v>41710</v>
      </c>
      <c r="B1055" s="4" t="s">
        <v>0</v>
      </c>
      <c r="C1055" s="4">
        <v>601.39684399999999</v>
      </c>
      <c r="D1055" s="6">
        <f t="shared" si="96"/>
        <v>6.0917271653214405E-3</v>
      </c>
      <c r="E1055" s="4">
        <f t="shared" si="97"/>
        <v>-2.2238294612011754E-3</v>
      </c>
      <c r="F1055" s="6">
        <f t="shared" si="98"/>
        <v>8.3155566265226168E-3</v>
      </c>
      <c r="G1055" s="4">
        <f t="shared" si="101"/>
        <v>2.1107504978786735E-2</v>
      </c>
      <c r="H1055" s="4">
        <f t="shared" si="99"/>
        <v>0.39396208291220769</v>
      </c>
      <c r="I1055" s="4">
        <f t="shared" si="100"/>
        <v>-0.99654159459093528</v>
      </c>
    </row>
    <row r="1056" spans="1:9" x14ac:dyDescent="0.25">
      <c r="A1056" s="3">
        <v>41711</v>
      </c>
      <c r="B1056" s="4" t="s">
        <v>0</v>
      </c>
      <c r="C1056" s="4">
        <v>592.31089139999995</v>
      </c>
      <c r="D1056" s="6">
        <f t="shared" si="96"/>
        <v>-1.5108081611416042E-2</v>
      </c>
      <c r="E1056" s="4">
        <f t="shared" si="97"/>
        <v>-4.4654195461194908E-3</v>
      </c>
      <c r="F1056" s="6">
        <f t="shared" si="98"/>
        <v>-1.064266206529655E-2</v>
      </c>
      <c r="G1056" s="4">
        <f t="shared" si="101"/>
        <v>1.6526712131584832E-2</v>
      </c>
      <c r="H1056" s="4">
        <f t="shared" si="99"/>
        <v>-0.64396729249957418</v>
      </c>
      <c r="I1056" s="4">
        <f t="shared" si="100"/>
        <v>-1.1262854701092886</v>
      </c>
    </row>
    <row r="1057" spans="1:9" x14ac:dyDescent="0.25">
      <c r="A1057" s="3">
        <v>41712</v>
      </c>
      <c r="B1057" s="4" t="s">
        <v>0</v>
      </c>
      <c r="C1057" s="4">
        <v>584.21126770000001</v>
      </c>
      <c r="D1057" s="6">
        <f t="shared" si="96"/>
        <v>-1.3674615506149949E-2</v>
      </c>
      <c r="E1057" s="4">
        <f t="shared" si="97"/>
        <v>-5.9866943588066709E-4</v>
      </c>
      <c r="F1057" s="6">
        <f t="shared" si="98"/>
        <v>-1.3075946070269281E-2</v>
      </c>
      <c r="G1057" s="4">
        <f t="shared" si="101"/>
        <v>2.355149328761847E-2</v>
      </c>
      <c r="H1057" s="4">
        <f t="shared" si="99"/>
        <v>-0.55520666611588443</v>
      </c>
      <c r="I1057" s="4">
        <f t="shared" si="100"/>
        <v>-1.0730657542544304</v>
      </c>
    </row>
    <row r="1058" spans="1:9" x14ac:dyDescent="0.25">
      <c r="A1058" s="3">
        <v>41715</v>
      </c>
      <c r="B1058" s="4" t="s">
        <v>0</v>
      </c>
      <c r="C1058" s="4">
        <v>593.8252367</v>
      </c>
      <c r="D1058" s="6">
        <f t="shared" si="96"/>
        <v>1.6456322449667118E-2</v>
      </c>
      <c r="E1058" s="4">
        <f t="shared" si="97"/>
        <v>-3.9101741862429124E-3</v>
      </c>
      <c r="F1058" s="6">
        <f t="shared" si="98"/>
        <v>2.0366496635910031E-2</v>
      </c>
      <c r="G1058" s="4">
        <f t="shared" si="101"/>
        <v>2.1677404627640992E-2</v>
      </c>
      <c r="H1058" s="4">
        <f t="shared" si="99"/>
        <v>0.93952652477320031</v>
      </c>
      <c r="I1058" s="4">
        <f t="shared" si="100"/>
        <v>-1.3602935785808763</v>
      </c>
    </row>
    <row r="1059" spans="1:9" x14ac:dyDescent="0.25">
      <c r="A1059" s="3">
        <v>41716</v>
      </c>
      <c r="B1059" s="4" t="s">
        <v>0</v>
      </c>
      <c r="C1059" s="4">
        <v>603.36944270000004</v>
      </c>
      <c r="D1059" s="6">
        <f t="shared" si="96"/>
        <v>1.6072415603349904E-2</v>
      </c>
      <c r="E1059" s="4">
        <f t="shared" si="97"/>
        <v>-9.8540755970952382E-3</v>
      </c>
      <c r="F1059" s="6">
        <f t="shared" si="98"/>
        <v>2.5926491200445143E-2</v>
      </c>
      <c r="G1059" s="4">
        <f t="shared" si="101"/>
        <v>3.371126697537586E-2</v>
      </c>
      <c r="H1059" s="4">
        <f t="shared" si="99"/>
        <v>0.76907495702795603</v>
      </c>
      <c r="I1059" s="4">
        <f t="shared" si="100"/>
        <v>-1.2146766779684488</v>
      </c>
    </row>
    <row r="1060" spans="1:9" x14ac:dyDescent="0.25">
      <c r="A1060" s="3">
        <v>41717</v>
      </c>
      <c r="B1060" s="4" t="s">
        <v>0</v>
      </c>
      <c r="C1060" s="4">
        <v>597.38688879999995</v>
      </c>
      <c r="D1060" s="6">
        <f t="shared" si="96"/>
        <v>-9.9152417683416837E-3</v>
      </c>
      <c r="E1060" s="4">
        <f t="shared" si="97"/>
        <v>2.1033502661883547E-3</v>
      </c>
      <c r="F1060" s="6">
        <f t="shared" si="98"/>
        <v>-1.2018592034530038E-2</v>
      </c>
      <c r="G1060" s="4">
        <f t="shared" si="101"/>
        <v>2.9822811360077851E-2</v>
      </c>
      <c r="H1060" s="4">
        <f t="shared" si="99"/>
        <v>-0.40299996836041635</v>
      </c>
      <c r="I1060" s="4">
        <f t="shared" si="100"/>
        <v>-1.000143020453921</v>
      </c>
    </row>
    <row r="1061" spans="1:9" x14ac:dyDescent="0.25">
      <c r="A1061" s="3">
        <v>41718</v>
      </c>
      <c r="B1061" s="4" t="s">
        <v>0</v>
      </c>
      <c r="C1061" s="4">
        <v>596.3457492</v>
      </c>
      <c r="D1061" s="6">
        <f t="shared" si="96"/>
        <v>-1.7428229837640713E-3</v>
      </c>
      <c r="E1061" s="4">
        <f t="shared" si="97"/>
        <v>1.118373730300979E-2</v>
      </c>
      <c r="F1061" s="6">
        <f t="shared" si="98"/>
        <v>-1.2926560286773862E-2</v>
      </c>
      <c r="G1061" s="4">
        <f t="shared" si="101"/>
        <v>1.8609873972025494E-2</v>
      </c>
      <c r="H1061" s="4">
        <f t="shared" si="99"/>
        <v>-0.69460762099760409</v>
      </c>
      <c r="I1061" s="4">
        <f t="shared" si="100"/>
        <v>-1.1601784067786483</v>
      </c>
    </row>
    <row r="1062" spans="1:9" x14ac:dyDescent="0.25">
      <c r="A1062" s="3">
        <v>41719</v>
      </c>
      <c r="B1062" s="4" t="s">
        <v>0</v>
      </c>
      <c r="C1062" s="4">
        <v>589.31210650000003</v>
      </c>
      <c r="D1062" s="6">
        <f t="shared" si="96"/>
        <v>-1.1794571705148617E-2</v>
      </c>
      <c r="E1062" s="4">
        <f t="shared" si="97"/>
        <v>1.1317871142664361E-3</v>
      </c>
      <c r="F1062" s="6">
        <f t="shared" si="98"/>
        <v>-1.2926358819415052E-2</v>
      </c>
      <c r="G1062" s="4">
        <f t="shared" si="101"/>
        <v>2.5405677502010421E-2</v>
      </c>
      <c r="H1062" s="4">
        <f t="shared" si="99"/>
        <v>-0.50879803612370322</v>
      </c>
      <c r="I1062" s="4">
        <f t="shared" si="100"/>
        <v>-1.0483762539863413</v>
      </c>
    </row>
    <row r="1063" spans="1:9" x14ac:dyDescent="0.25">
      <c r="A1063" s="3">
        <v>41722</v>
      </c>
      <c r="B1063" s="4" t="s">
        <v>0</v>
      </c>
      <c r="C1063" s="4">
        <v>576.80396759999996</v>
      </c>
      <c r="D1063" s="6">
        <f t="shared" si="96"/>
        <v>-2.1224982080017836E-2</v>
      </c>
      <c r="E1063" s="4">
        <f t="shared" si="97"/>
        <v>-3.7030456243470327E-3</v>
      </c>
      <c r="F1063" s="6">
        <f t="shared" si="98"/>
        <v>-1.7521936455670802E-2</v>
      </c>
      <c r="G1063" s="4">
        <f t="shared" si="101"/>
        <v>2.0610238550493428E-2</v>
      </c>
      <c r="H1063" s="4">
        <f t="shared" si="99"/>
        <v>-0.85015689715300802</v>
      </c>
      <c r="I1063" s="4">
        <f t="shared" si="100"/>
        <v>-1.2803219080930879</v>
      </c>
    </row>
    <row r="1064" spans="1:9" x14ac:dyDescent="0.25">
      <c r="A1064" s="3">
        <v>41723</v>
      </c>
      <c r="B1064" s="4" t="s">
        <v>0</v>
      </c>
      <c r="C1064" s="4">
        <v>577.19752300000005</v>
      </c>
      <c r="D1064" s="6">
        <f t="shared" si="96"/>
        <v>6.8230355910624295E-4</v>
      </c>
      <c r="E1064" s="4">
        <f t="shared" si="97"/>
        <v>-5.0429875355671042E-3</v>
      </c>
      <c r="F1064" s="6">
        <f t="shared" si="98"/>
        <v>5.7252910946733468E-3</v>
      </c>
      <c r="G1064" s="4">
        <f t="shared" si="101"/>
        <v>3.0673315559206212E-2</v>
      </c>
      <c r="H1064" s="4">
        <f t="shared" si="99"/>
        <v>0.18665380609482146</v>
      </c>
      <c r="I1064" s="4">
        <f t="shared" si="100"/>
        <v>-0.93635835486951424</v>
      </c>
    </row>
    <row r="1065" spans="1:9" x14ac:dyDescent="0.25">
      <c r="A1065" s="3">
        <v>41724</v>
      </c>
      <c r="B1065" s="4" t="s">
        <v>0</v>
      </c>
      <c r="C1065" s="4">
        <v>563.87242670000001</v>
      </c>
      <c r="D1065" s="6">
        <f t="shared" si="96"/>
        <v>-2.3085851496282391E-2</v>
      </c>
      <c r="E1065" s="4">
        <f t="shared" si="97"/>
        <v>-1.1725969564546157E-2</v>
      </c>
      <c r="F1065" s="6">
        <f t="shared" si="98"/>
        <v>-1.1359881931736234E-2</v>
      </c>
      <c r="G1065" s="4">
        <f t="shared" si="101"/>
        <v>1.4250045418943043E-2</v>
      </c>
      <c r="H1065" s="4">
        <f t="shared" si="99"/>
        <v>-0.797182156109845</v>
      </c>
      <c r="I1065" s="4">
        <f t="shared" si="100"/>
        <v>-1.2366882282146432</v>
      </c>
    </row>
    <row r="1066" spans="1:9" x14ac:dyDescent="0.25">
      <c r="A1066" s="3">
        <v>41725</v>
      </c>
      <c r="B1066" s="4" t="s">
        <v>0</v>
      </c>
      <c r="C1066" s="4">
        <v>556.93349009999997</v>
      </c>
      <c r="D1066" s="6">
        <f t="shared" si="96"/>
        <v>-1.2305862587765427E-2</v>
      </c>
      <c r="E1066" s="4">
        <f t="shared" si="97"/>
        <v>-6.2398289640456604E-3</v>
      </c>
      <c r="F1066" s="6">
        <f t="shared" si="98"/>
        <v>-6.066033623719767E-3</v>
      </c>
      <c r="G1066" s="4">
        <f t="shared" si="101"/>
        <v>2.8379748786136569E-2</v>
      </c>
      <c r="H1066" s="4">
        <f t="shared" si="99"/>
        <v>-0.21374514867739097</v>
      </c>
      <c r="I1066" s="4">
        <f t="shared" si="100"/>
        <v>-0.94178202749623274</v>
      </c>
    </row>
    <row r="1067" spans="1:9" x14ac:dyDescent="0.25">
      <c r="A1067" s="3">
        <v>41726</v>
      </c>
      <c r="B1067" s="4" t="s">
        <v>0</v>
      </c>
      <c r="C1067" s="4">
        <v>558.45931499999995</v>
      </c>
      <c r="D1067" s="6">
        <f t="shared" si="96"/>
        <v>2.7396896166650099E-3</v>
      </c>
      <c r="E1067" s="4">
        <f t="shared" si="97"/>
        <v>-8.6165303834206414E-3</v>
      </c>
      <c r="F1067" s="6">
        <f t="shared" si="98"/>
        <v>1.135622000008565E-2</v>
      </c>
      <c r="G1067" s="4">
        <f t="shared" si="101"/>
        <v>1.4005215233886084E-2</v>
      </c>
      <c r="H1067" s="4">
        <f t="shared" si="99"/>
        <v>0.81085651383699542</v>
      </c>
      <c r="I1067" s="4">
        <f t="shared" si="100"/>
        <v>-1.2476826762206155</v>
      </c>
    </row>
    <row r="1068" spans="1:9" x14ac:dyDescent="0.25">
      <c r="A1068" s="3">
        <v>41729</v>
      </c>
      <c r="B1068" s="4" t="s">
        <v>0</v>
      </c>
      <c r="C1068" s="4">
        <v>555.4475218</v>
      </c>
      <c r="D1068" s="6">
        <f t="shared" si="96"/>
        <v>-5.3930395985962616E-3</v>
      </c>
      <c r="E1068" s="4">
        <f t="shared" si="97"/>
        <v>-1.1774313812512444E-2</v>
      </c>
      <c r="F1068" s="6">
        <f t="shared" si="98"/>
        <v>6.3812742139161827E-3</v>
      </c>
      <c r="G1068" s="4">
        <f t="shared" si="101"/>
        <v>2.881646295520509E-2</v>
      </c>
      <c r="H1068" s="4">
        <f t="shared" si="99"/>
        <v>0.22144543637558195</v>
      </c>
      <c r="I1068" s="4">
        <f t="shared" si="100"/>
        <v>-0.9434575738504587</v>
      </c>
    </row>
    <row r="1069" spans="1:9" x14ac:dyDescent="0.25">
      <c r="A1069" s="3">
        <v>41730</v>
      </c>
      <c r="B1069" s="4" t="s">
        <v>0</v>
      </c>
      <c r="C1069" s="4">
        <v>565.60967659999994</v>
      </c>
      <c r="D1069" s="6">
        <f t="shared" si="96"/>
        <v>1.8295436384463744E-2</v>
      </c>
      <c r="E1069" s="4">
        <f t="shared" si="97"/>
        <v>-2.7214790990517314E-3</v>
      </c>
      <c r="F1069" s="6">
        <f t="shared" si="98"/>
        <v>2.1016915483515475E-2</v>
      </c>
      <c r="G1069" s="4">
        <f t="shared" si="101"/>
        <v>1.427397349423319E-2</v>
      </c>
      <c r="H1069" s="4">
        <f t="shared" si="99"/>
        <v>1.4723941789584023</v>
      </c>
      <c r="I1069" s="4">
        <f t="shared" si="100"/>
        <v>-2.0029108423199666</v>
      </c>
    </row>
    <row r="1070" spans="1:9" x14ac:dyDescent="0.25">
      <c r="A1070" s="3">
        <v>41731</v>
      </c>
      <c r="B1070" s="4" t="s">
        <v>0</v>
      </c>
      <c r="C1070" s="4">
        <v>565.45013070000005</v>
      </c>
      <c r="D1070" s="6">
        <f t="shared" si="96"/>
        <v>-2.8207774124191533E-4</v>
      </c>
      <c r="E1070" s="4">
        <f t="shared" si="97"/>
        <v>-1.2222450392478706E-3</v>
      </c>
      <c r="F1070" s="6">
        <f t="shared" si="98"/>
        <v>9.4016729800595531E-4</v>
      </c>
      <c r="G1070" s="4">
        <f t="shared" si="101"/>
        <v>5.1152255142542194E-2</v>
      </c>
      <c r="H1070" s="4">
        <f t="shared" si="99"/>
        <v>1.8379781993698243E-2</v>
      </c>
      <c r="I1070" s="4">
        <f t="shared" si="100"/>
        <v>-0.91910744139774059</v>
      </c>
    </row>
    <row r="1071" spans="1:9" x14ac:dyDescent="0.25">
      <c r="A1071" s="3">
        <v>41732</v>
      </c>
      <c r="B1071" s="4" t="s">
        <v>0</v>
      </c>
      <c r="C1071" s="4">
        <v>568.18262560000005</v>
      </c>
      <c r="D1071" s="6">
        <f t="shared" si="96"/>
        <v>4.8324242079797715E-3</v>
      </c>
      <c r="E1071" s="4">
        <f t="shared" si="97"/>
        <v>5.3423291509491471E-3</v>
      </c>
      <c r="F1071" s="6">
        <f t="shared" si="98"/>
        <v>-5.0990494296937559E-4</v>
      </c>
      <c r="G1071" s="4">
        <f t="shared" si="101"/>
        <v>2.0161321759641082E-2</v>
      </c>
      <c r="H1071" s="4">
        <f t="shared" si="99"/>
        <v>-2.5291245735192962E-2</v>
      </c>
      <c r="I1071" s="4">
        <f t="shared" si="100"/>
        <v>-0.9192583567600916</v>
      </c>
    </row>
    <row r="1072" spans="1:9" x14ac:dyDescent="0.25">
      <c r="A1072" s="3">
        <v>41733</v>
      </c>
      <c r="B1072" s="4" t="s">
        <v>0</v>
      </c>
      <c r="C1072" s="4">
        <v>541.65534530000002</v>
      </c>
      <c r="D1072" s="6">
        <f t="shared" si="96"/>
        <v>-4.6687946981812861E-2</v>
      </c>
      <c r="E1072" s="4">
        <f t="shared" si="97"/>
        <v>5.4952820555331482E-3</v>
      </c>
      <c r="F1072" s="6">
        <f t="shared" si="98"/>
        <v>-5.2183229037346013E-2</v>
      </c>
      <c r="G1072" s="4">
        <f t="shared" si="101"/>
        <v>9.2073540690916812E-3</v>
      </c>
      <c r="H1072" s="4">
        <f t="shared" si="99"/>
        <v>-5.6675597186515025</v>
      </c>
      <c r="I1072" s="4">
        <f t="shared" si="100"/>
        <v>-16.979555115445223</v>
      </c>
    </row>
    <row r="1073" spans="1:9" x14ac:dyDescent="0.25">
      <c r="A1073" s="3">
        <v>41736</v>
      </c>
      <c r="B1073" s="4" t="s">
        <v>0</v>
      </c>
      <c r="C1073" s="4">
        <v>536.67900380000003</v>
      </c>
      <c r="D1073" s="6">
        <f t="shared" si="96"/>
        <v>-9.1872840232820087E-3</v>
      </c>
      <c r="E1073" s="4">
        <f t="shared" si="97"/>
        <v>1.7600146457691943E-3</v>
      </c>
      <c r="F1073" s="6">
        <f t="shared" si="98"/>
        <v>-1.0947298669051203E-2</v>
      </c>
      <c r="G1073" s="4">
        <f t="shared" si="101"/>
        <v>0.19493078125824448</v>
      </c>
      <c r="H1073" s="4">
        <f t="shared" si="99"/>
        <v>-5.615992814674154E-2</v>
      </c>
      <c r="I1073" s="4">
        <f t="shared" si="100"/>
        <v>-0.92051550196939624</v>
      </c>
    </row>
    <row r="1074" spans="1:9" x14ac:dyDescent="0.25">
      <c r="A1074" s="3">
        <v>41737</v>
      </c>
      <c r="B1074" s="4" t="s">
        <v>0</v>
      </c>
      <c r="C1074" s="4">
        <v>553.38318149999998</v>
      </c>
      <c r="D1074" s="6">
        <f t="shared" si="96"/>
        <v>3.1125081439230221E-2</v>
      </c>
      <c r="E1074" s="4">
        <f t="shared" si="97"/>
        <v>-1.6368074968986349E-2</v>
      </c>
      <c r="F1074" s="6">
        <f t="shared" si="98"/>
        <v>4.7493156408216566E-2</v>
      </c>
      <c r="G1074" s="4">
        <f t="shared" si="101"/>
        <v>7.4603780650053131E-2</v>
      </c>
      <c r="H1074" s="4">
        <f t="shared" si="99"/>
        <v>0.63660522287730392</v>
      </c>
      <c r="I1074" s="4">
        <f t="shared" si="100"/>
        <v>-1.1215716381020036</v>
      </c>
    </row>
    <row r="1075" spans="1:9" x14ac:dyDescent="0.25">
      <c r="A1075" s="3">
        <v>41738</v>
      </c>
      <c r="B1075" s="4" t="s">
        <v>0</v>
      </c>
      <c r="C1075" s="4">
        <v>562.59794429999999</v>
      </c>
      <c r="D1075" s="6">
        <f t="shared" si="96"/>
        <v>1.6651685681922043E-2</v>
      </c>
      <c r="E1075" s="4">
        <f t="shared" si="97"/>
        <v>-1.7809772281421395E-2</v>
      </c>
      <c r="F1075" s="6">
        <f t="shared" si="98"/>
        <v>3.4461457963343434E-2</v>
      </c>
      <c r="G1075" s="4">
        <f t="shared" si="101"/>
        <v>3.6259996567605604E-2</v>
      </c>
      <c r="H1075" s="4">
        <f t="shared" si="99"/>
        <v>0.95039882033885881</v>
      </c>
      <c r="I1075" s="4">
        <f t="shared" si="100"/>
        <v>-1.3705674920554198</v>
      </c>
    </row>
    <row r="1076" spans="1:9" x14ac:dyDescent="0.25">
      <c r="A1076" s="3">
        <v>41739</v>
      </c>
      <c r="B1076" s="4" t="s">
        <v>0</v>
      </c>
      <c r="C1076" s="4">
        <v>539.47131449999995</v>
      </c>
      <c r="D1076" s="6">
        <f t="shared" si="96"/>
        <v>-4.1106850876916803E-2</v>
      </c>
      <c r="E1076" s="4">
        <f t="shared" si="97"/>
        <v>9.0851787488867956E-3</v>
      </c>
      <c r="F1076" s="6">
        <f t="shared" si="98"/>
        <v>-5.0192029625803602E-2</v>
      </c>
      <c r="G1076" s="4">
        <f t="shared" si="101"/>
        <v>3.5830875264602227E-2</v>
      </c>
      <c r="H1076" s="4">
        <f t="shared" si="99"/>
        <v>-1.4008038948294668</v>
      </c>
      <c r="I1076" s="4">
        <f t="shared" si="100"/>
        <v>-1.9000643090893745</v>
      </c>
    </row>
    <row r="1077" spans="1:9" x14ac:dyDescent="0.25">
      <c r="A1077" s="3">
        <v>41740</v>
      </c>
      <c r="B1077" s="4" t="s">
        <v>0</v>
      </c>
      <c r="C1077" s="4">
        <v>529.14961170000004</v>
      </c>
      <c r="D1077" s="6">
        <f t="shared" si="96"/>
        <v>-1.9132996551570886E-2</v>
      </c>
      <c r="E1077" s="4">
        <f t="shared" si="97"/>
        <v>1.5896896268306124E-2</v>
      </c>
      <c r="F1077" s="6">
        <f t="shared" si="98"/>
        <v>-3.5029892819877007E-2</v>
      </c>
      <c r="G1077" s="4">
        <f t="shared" si="101"/>
        <v>5.0307674516140252E-2</v>
      </c>
      <c r="H1077" s="4">
        <f t="shared" si="99"/>
        <v>-0.69631310047214245</v>
      </c>
      <c r="I1077" s="4">
        <f t="shared" si="100"/>
        <v>-1.1613645001492368</v>
      </c>
    </row>
    <row r="1078" spans="1:9" x14ac:dyDescent="0.25">
      <c r="A1078" s="3">
        <v>41743</v>
      </c>
      <c r="B1078" s="4" t="s">
        <v>0</v>
      </c>
      <c r="C1078" s="4">
        <v>531.06435480000005</v>
      </c>
      <c r="D1078" s="6">
        <f t="shared" si="96"/>
        <v>3.6185287821501192E-3</v>
      </c>
      <c r="E1078" s="4">
        <f t="shared" si="97"/>
        <v>-1.0615061862390841E-2</v>
      </c>
      <c r="F1078" s="6">
        <f t="shared" si="98"/>
        <v>1.423359064454096E-2</v>
      </c>
      <c r="G1078" s="4">
        <f t="shared" si="101"/>
        <v>3.1090037037660698E-2</v>
      </c>
      <c r="H1078" s="4">
        <f t="shared" si="99"/>
        <v>0.4578183881640025</v>
      </c>
      <c r="I1078" s="4">
        <f t="shared" si="100"/>
        <v>-1.0237373714752152</v>
      </c>
    </row>
    <row r="1079" spans="1:9" x14ac:dyDescent="0.25">
      <c r="A1079" s="3">
        <v>41744</v>
      </c>
      <c r="B1079" s="4" t="s">
        <v>0</v>
      </c>
      <c r="C1079" s="4">
        <v>534.97367380000003</v>
      </c>
      <c r="D1079" s="6">
        <f t="shared" si="96"/>
        <v>7.3612905190600488E-3</v>
      </c>
      <c r="E1079" s="4">
        <f t="shared" si="97"/>
        <v>-1.9903138588096978E-2</v>
      </c>
      <c r="F1079" s="6">
        <f t="shared" si="98"/>
        <v>2.7264429107157026E-2</v>
      </c>
      <c r="G1079" s="4">
        <f t="shared" si="101"/>
        <v>2.0330850274971664E-2</v>
      </c>
      <c r="H1079" s="4">
        <f t="shared" si="99"/>
        <v>1.3410373269395899</v>
      </c>
      <c r="I1079" s="4">
        <f t="shared" si="100"/>
        <v>-1.818129089327313</v>
      </c>
    </row>
    <row r="1080" spans="1:9" x14ac:dyDescent="0.25">
      <c r="A1080" s="3">
        <v>41745</v>
      </c>
      <c r="B1080" s="4" t="s">
        <v>0</v>
      </c>
      <c r="C1080" s="4">
        <v>555.01868620000005</v>
      </c>
      <c r="D1080" s="6">
        <f t="shared" si="96"/>
        <v>3.7469156673855038E-2</v>
      </c>
      <c r="E1080" s="4">
        <f t="shared" si="97"/>
        <v>-4.4760869412981737E-3</v>
      </c>
      <c r="F1080" s="6">
        <f t="shared" si="98"/>
        <v>4.1945243615153213E-2</v>
      </c>
      <c r="G1080" s="4">
        <f t="shared" si="101"/>
        <v>4.7014320900683658E-2</v>
      </c>
      <c r="H1080" s="4">
        <f t="shared" si="99"/>
        <v>0.89218014450876115</v>
      </c>
      <c r="I1080" s="4">
        <f t="shared" si="100"/>
        <v>-1.3169312383325098</v>
      </c>
    </row>
    <row r="1081" spans="1:9" x14ac:dyDescent="0.25">
      <c r="A1081" s="3">
        <v>41746</v>
      </c>
      <c r="B1081" s="4" t="s">
        <v>0</v>
      </c>
      <c r="C1081" s="4">
        <v>534.63456080000003</v>
      </c>
      <c r="D1081" s="6">
        <f t="shared" si="96"/>
        <v>-3.672691732158119E-2</v>
      </c>
      <c r="E1081" s="4">
        <f t="shared" si="97"/>
        <v>3.9230002098605303E-3</v>
      </c>
      <c r="F1081" s="6">
        <f t="shared" si="98"/>
        <v>-4.0649917531441718E-2</v>
      </c>
      <c r="G1081" s="4">
        <f t="shared" si="101"/>
        <v>3.5882881265779779E-2</v>
      </c>
      <c r="H1081" s="4">
        <f t="shared" si="99"/>
        <v>-1.1328498742994781</v>
      </c>
      <c r="I1081" s="4">
        <f t="shared" si="100"/>
        <v>-1.5606129520548444</v>
      </c>
    </row>
    <row r="1082" spans="1:9" x14ac:dyDescent="0.25">
      <c r="A1082" s="3">
        <v>41750</v>
      </c>
      <c r="B1082" s="4" t="s">
        <v>0</v>
      </c>
      <c r="C1082" s="4">
        <v>527.17505489999996</v>
      </c>
      <c r="D1082" s="6">
        <f t="shared" si="96"/>
        <v>-1.3952532153622918E-2</v>
      </c>
      <c r="E1082" s="4">
        <f t="shared" si="97"/>
        <v>1.6577356845082783E-2</v>
      </c>
      <c r="F1082" s="6">
        <f t="shared" si="98"/>
        <v>-3.05298889987057E-2</v>
      </c>
      <c r="G1082" s="4">
        <f t="shared" si="101"/>
        <v>4.1582189028556531E-2</v>
      </c>
      <c r="H1082" s="4">
        <f t="shared" si="99"/>
        <v>-0.73420591151993764</v>
      </c>
      <c r="I1082" s="4">
        <f t="shared" si="100"/>
        <v>-1.188467693460084</v>
      </c>
    </row>
    <row r="1083" spans="1:9" x14ac:dyDescent="0.25">
      <c r="A1083" s="3">
        <v>41751</v>
      </c>
      <c r="B1083" s="4" t="s">
        <v>0</v>
      </c>
      <c r="C1083" s="4">
        <v>533.34811769999999</v>
      </c>
      <c r="D1083" s="6">
        <f t="shared" si="96"/>
        <v>1.1709702010029658E-2</v>
      </c>
      <c r="E1083" s="4">
        <f t="shared" si="97"/>
        <v>-2.5652041393103234E-3</v>
      </c>
      <c r="F1083" s="6">
        <f t="shared" si="98"/>
        <v>1.4274906149339982E-2</v>
      </c>
      <c r="G1083" s="4">
        <f t="shared" si="101"/>
        <v>3.0229333653147252E-2</v>
      </c>
      <c r="H1083" s="4">
        <f t="shared" si="99"/>
        <v>0.47222033780601663</v>
      </c>
      <c r="I1083" s="4">
        <f t="shared" si="100"/>
        <v>-1.0304345569234867</v>
      </c>
    </row>
    <row r="1084" spans="1:9" x14ac:dyDescent="0.25">
      <c r="A1084" s="3">
        <v>41752</v>
      </c>
      <c r="B1084" s="4" t="s">
        <v>0</v>
      </c>
      <c r="C1084" s="4">
        <v>525.49963179999997</v>
      </c>
      <c r="D1084" s="6">
        <f t="shared" si="96"/>
        <v>-1.4715503138636116E-2</v>
      </c>
      <c r="E1084" s="4">
        <f t="shared" si="97"/>
        <v>-1.6581228548366946E-2</v>
      </c>
      <c r="F1084" s="6">
        <f t="shared" si="98"/>
        <v>1.8657254097308295E-3</v>
      </c>
      <c r="G1084" s="4">
        <f t="shared" si="101"/>
        <v>2.0530025903338328E-2</v>
      </c>
      <c r="H1084" s="4">
        <f t="shared" si="99"/>
        <v>9.0877888733079934E-2</v>
      </c>
      <c r="I1084" s="4">
        <f t="shared" si="100"/>
        <v>-0.92306792853496367</v>
      </c>
    </row>
    <row r="1085" spans="1:9" x14ac:dyDescent="0.25">
      <c r="A1085" s="3">
        <v>41753</v>
      </c>
      <c r="B1085" s="4" t="s">
        <v>0</v>
      </c>
      <c r="C1085" s="4">
        <v>523.72447739999996</v>
      </c>
      <c r="D1085" s="6">
        <f t="shared" si="96"/>
        <v>-3.3780316722954924E-3</v>
      </c>
      <c r="E1085" s="4">
        <f t="shared" si="97"/>
        <v>2.0308756934865526E-4</v>
      </c>
      <c r="F1085" s="6">
        <f t="shared" si="98"/>
        <v>-3.5811192416441476E-3</v>
      </c>
      <c r="G1085" s="4">
        <f t="shared" si="101"/>
        <v>9.7962224755559889E-3</v>
      </c>
      <c r="H1085" s="4">
        <f t="shared" si="99"/>
        <v>-0.36556124062922524</v>
      </c>
      <c r="I1085" s="4">
        <f t="shared" si="100"/>
        <v>-0.98575604352986179</v>
      </c>
    </row>
    <row r="1086" spans="1:9" x14ac:dyDescent="0.25">
      <c r="A1086" s="3">
        <v>41754</v>
      </c>
      <c r="B1086" s="4" t="s">
        <v>0</v>
      </c>
      <c r="C1086" s="4">
        <v>514.76905360000001</v>
      </c>
      <c r="D1086" s="6">
        <f t="shared" si="96"/>
        <v>-1.7099494460252527E-2</v>
      </c>
      <c r="E1086" s="4">
        <f t="shared" si="97"/>
        <v>-2.039376438015775E-3</v>
      </c>
      <c r="F1086" s="6">
        <f t="shared" si="98"/>
        <v>-1.5060118022236751E-2</v>
      </c>
      <c r="G1086" s="4">
        <f t="shared" si="101"/>
        <v>1.4024984564427611E-2</v>
      </c>
      <c r="H1086" s="4">
        <f t="shared" si="99"/>
        <v>-1.0738063883816749</v>
      </c>
      <c r="I1086" s="4">
        <f t="shared" si="100"/>
        <v>-1.4954686130693209</v>
      </c>
    </row>
    <row r="1087" spans="1:9" x14ac:dyDescent="0.25">
      <c r="A1087" s="3">
        <v>41757</v>
      </c>
      <c r="B1087" s="4" t="s">
        <v>0</v>
      </c>
      <c r="C1087" s="4">
        <v>515.73640469999998</v>
      </c>
      <c r="D1087" s="6">
        <f t="shared" si="96"/>
        <v>1.879194355672459E-3</v>
      </c>
      <c r="E1087" s="4">
        <f t="shared" si="97"/>
        <v>-5.7983486843995076E-3</v>
      </c>
      <c r="F1087" s="6">
        <f t="shared" si="98"/>
        <v>7.6775430400719668E-3</v>
      </c>
      <c r="G1087" s="4">
        <f t="shared" si="101"/>
        <v>3.7631583478100486E-2</v>
      </c>
      <c r="H1087" s="4">
        <f t="shared" si="99"/>
        <v>0.20401860167643157</v>
      </c>
      <c r="I1087" s="4">
        <f t="shared" si="100"/>
        <v>-0.93975032811967596</v>
      </c>
    </row>
    <row r="1088" spans="1:9" x14ac:dyDescent="0.25">
      <c r="A1088" s="3">
        <v>41758</v>
      </c>
      <c r="B1088" s="4" t="s">
        <v>0</v>
      </c>
      <c r="C1088" s="4">
        <v>526.25756980000006</v>
      </c>
      <c r="D1088" s="6">
        <f t="shared" si="96"/>
        <v>2.0400276195589023E-2</v>
      </c>
      <c r="E1088" s="4">
        <f t="shared" si="97"/>
        <v>-7.5712734451654296E-3</v>
      </c>
      <c r="F1088" s="6">
        <f t="shared" si="98"/>
        <v>2.7971549640754451E-2</v>
      </c>
      <c r="G1088" s="4">
        <f t="shared" si="101"/>
        <v>1.6743392096144512E-2</v>
      </c>
      <c r="H1088" s="4">
        <f t="shared" si="99"/>
        <v>1.6706023176268707</v>
      </c>
      <c r="I1088" s="4">
        <f t="shared" si="100"/>
        <v>-2.3143945850348087</v>
      </c>
    </row>
    <row r="1089" spans="1:9" x14ac:dyDescent="0.25">
      <c r="A1089" s="3">
        <v>41759</v>
      </c>
      <c r="B1089" s="4" t="s">
        <v>0</v>
      </c>
      <c r="C1089" s="4">
        <v>525.22039540000003</v>
      </c>
      <c r="D1089" s="6">
        <f t="shared" si="96"/>
        <v>-1.9708493701937552E-3</v>
      </c>
      <c r="E1089" s="4">
        <f t="shared" si="97"/>
        <v>-4.517973048970305E-3</v>
      </c>
      <c r="F1089" s="6">
        <f t="shared" si="98"/>
        <v>2.5471236787765498E-3</v>
      </c>
      <c r="G1089" s="4">
        <f t="shared" si="101"/>
        <v>5.799946379259547E-2</v>
      </c>
      <c r="H1089" s="4">
        <f t="shared" si="99"/>
        <v>4.39163315006669E-2</v>
      </c>
      <c r="I1089" s="4">
        <f t="shared" si="100"/>
        <v>-0.91990285529091087</v>
      </c>
    </row>
    <row r="1090" spans="1:9" x14ac:dyDescent="0.25">
      <c r="A1090" s="3">
        <v>41760</v>
      </c>
      <c r="B1090" s="4" t="s">
        <v>0</v>
      </c>
      <c r="C1090" s="4">
        <v>529.89760109999997</v>
      </c>
      <c r="D1090" s="6">
        <f t="shared" si="96"/>
        <v>8.9052248179316319E-3</v>
      </c>
      <c r="E1090" s="4">
        <f t="shared" si="97"/>
        <v>8.3740696262100175E-3</v>
      </c>
      <c r="F1090" s="6">
        <f t="shared" si="98"/>
        <v>5.3115519172161445E-4</v>
      </c>
      <c r="G1090" s="4">
        <f t="shared" si="101"/>
        <v>2.274358352615943E-2</v>
      </c>
      <c r="H1090" s="4">
        <f t="shared" si="99"/>
        <v>2.3354067801614701E-2</v>
      </c>
      <c r="I1090" s="4">
        <f t="shared" si="100"/>
        <v>-0.91921123944611383</v>
      </c>
    </row>
    <row r="1091" spans="1:9" x14ac:dyDescent="0.25">
      <c r="A1091" s="3">
        <v>41761</v>
      </c>
      <c r="B1091" s="4" t="s">
        <v>0</v>
      </c>
      <c r="C1091" s="4">
        <v>526.48694109999997</v>
      </c>
      <c r="D1091" s="6">
        <f t="shared" si="96"/>
        <v>-6.4364511047415784E-3</v>
      </c>
      <c r="E1091" s="4">
        <f t="shared" si="97"/>
        <v>5.4943930640631846E-3</v>
      </c>
      <c r="F1091" s="6">
        <f t="shared" si="98"/>
        <v>-1.1930844168804763E-2</v>
      </c>
      <c r="G1091" s="4">
        <f t="shared" si="101"/>
        <v>1.0040367504125769E-2</v>
      </c>
      <c r="H1091" s="4">
        <f t="shared" si="99"/>
        <v>-1.1882875964353061</v>
      </c>
      <c r="I1091" s="4">
        <f t="shared" si="100"/>
        <v>-1.6249522391256712</v>
      </c>
    </row>
    <row r="1092" spans="1:9" x14ac:dyDescent="0.25">
      <c r="A1092" s="3">
        <v>41764</v>
      </c>
      <c r="B1092" s="4" t="s">
        <v>0</v>
      </c>
      <c r="C1092" s="4">
        <v>526.3672507</v>
      </c>
      <c r="D1092" s="6">
        <f t="shared" ref="D1092:D1155" si="102">(C1092-C1091)/C1091</f>
        <v>-2.2733783244442124E-4</v>
      </c>
      <c r="E1092" s="4">
        <f t="shared" si="97"/>
        <v>2.8005766632272951E-3</v>
      </c>
      <c r="F1092" s="6">
        <f t="shared" si="98"/>
        <v>-3.0279144956717164E-3</v>
      </c>
      <c r="G1092" s="4">
        <f t="shared" si="101"/>
        <v>4.1330496274584162E-2</v>
      </c>
      <c r="H1092" s="4">
        <f t="shared" si="99"/>
        <v>-7.3261024391175933E-2</v>
      </c>
      <c r="I1092" s="4">
        <f t="shared" si="100"/>
        <v>-0.92162212205209482</v>
      </c>
    </row>
    <row r="1093" spans="1:9" x14ac:dyDescent="0.25">
      <c r="A1093" s="3">
        <v>41765</v>
      </c>
      <c r="B1093" s="4" t="s">
        <v>0</v>
      </c>
      <c r="C1093" s="4">
        <v>513.73187910000001</v>
      </c>
      <c r="D1093" s="6">
        <f t="shared" si="102"/>
        <v>-2.4004858932991337E-2</v>
      </c>
      <c r="E1093" s="4">
        <f t="shared" si="97"/>
        <v>2.6671876318204706E-4</v>
      </c>
      <c r="F1093" s="6">
        <f t="shared" si="98"/>
        <v>-2.4271577696173385E-2</v>
      </c>
      <c r="G1093" s="4">
        <f t="shared" si="101"/>
        <v>1.6734857028960787E-2</v>
      </c>
      <c r="H1093" s="4">
        <f t="shared" si="99"/>
        <v>-1.4503606247827394</v>
      </c>
      <c r="I1093" s="4">
        <f t="shared" si="100"/>
        <v>-1.9707115041647618</v>
      </c>
    </row>
    <row r="1094" spans="1:9" x14ac:dyDescent="0.25">
      <c r="A1094" s="3">
        <v>41766</v>
      </c>
      <c r="B1094" s="4" t="s">
        <v>0</v>
      </c>
      <c r="C1094" s="4">
        <v>508.56605289999999</v>
      </c>
      <c r="D1094" s="6">
        <f t="shared" si="102"/>
        <v>-1.0055490831228866E-2</v>
      </c>
      <c r="E1094" s="4">
        <f t="shared" si="97"/>
        <v>-2.0585640182109646E-3</v>
      </c>
      <c r="F1094" s="6">
        <f t="shared" si="98"/>
        <v>-7.996926813017901E-3</v>
      </c>
      <c r="G1094" s="4">
        <f t="shared" si="101"/>
        <v>5.0513036987183131E-2</v>
      </c>
      <c r="H1094" s="4">
        <f t="shared" si="99"/>
        <v>-0.15831411631510084</v>
      </c>
      <c r="I1094" s="4">
        <f t="shared" si="100"/>
        <v>-0.93147021291698828</v>
      </c>
    </row>
    <row r="1095" spans="1:9" x14ac:dyDescent="0.25">
      <c r="A1095" s="3">
        <v>41767</v>
      </c>
      <c r="B1095" s="4" t="s">
        <v>0</v>
      </c>
      <c r="C1095" s="4">
        <v>509.6031974</v>
      </c>
      <c r="D1095" s="6">
        <f t="shared" si="102"/>
        <v>2.039350629256306E-3</v>
      </c>
      <c r="E1095" s="4">
        <f t="shared" ref="E1095:E1158" si="103">+$M$16*D1094+$M$17*D1093+$M$18*D1092</f>
        <v>-9.246382507592292E-3</v>
      </c>
      <c r="F1095" s="6">
        <f t="shared" ref="F1095:F1158" si="104">D1095-E1095</f>
        <v>1.1285733136848598E-2</v>
      </c>
      <c r="G1095" s="4">
        <f t="shared" si="101"/>
        <v>2.0645326210237767E-2</v>
      </c>
      <c r="H1095" s="4">
        <f t="shared" ref="H1095:H1158" si="105">F1095/G1095</f>
        <v>0.54664833202064589</v>
      </c>
      <c r="I1095" s="4">
        <f t="shared" ref="I1095:I1158" si="106">LN(_xlfn.NORM.DIST(H1095,0,1,FALSE))</f>
        <v>-1.0683507326551498</v>
      </c>
    </row>
    <row r="1096" spans="1:9" x14ac:dyDescent="0.25">
      <c r="A1096" s="3">
        <v>41768</v>
      </c>
      <c r="B1096" s="4" t="s">
        <v>0</v>
      </c>
      <c r="C1096" s="4">
        <v>517.31209460000002</v>
      </c>
      <c r="D1096" s="6">
        <f t="shared" si="102"/>
        <v>1.5127254380135144E-2</v>
      </c>
      <c r="E1096" s="4">
        <f t="shared" si="103"/>
        <v>-1.1195505526305492E-2</v>
      </c>
      <c r="F1096" s="6">
        <f t="shared" si="104"/>
        <v>2.6322759906440635E-2</v>
      </c>
      <c r="G1096" s="4">
        <f t="shared" ref="G1096:G1159" si="107">SQRT($M$12 + $M$13 *H1095^2+$M$14*G1095^2)</f>
        <v>2.0977326020646638E-2</v>
      </c>
      <c r="H1096" s="4">
        <f t="shared" si="105"/>
        <v>1.2548196028670588</v>
      </c>
      <c r="I1096" s="4">
        <f t="shared" si="106"/>
        <v>-1.7062246510743944</v>
      </c>
    </row>
    <row r="1097" spans="1:9" x14ac:dyDescent="0.25">
      <c r="A1097" s="3">
        <v>41771</v>
      </c>
      <c r="B1097" s="4" t="s">
        <v>0</v>
      </c>
      <c r="C1097" s="4">
        <v>528.47150850000003</v>
      </c>
      <c r="D1097" s="6">
        <f t="shared" si="102"/>
        <v>2.1571917642151342E-2</v>
      </c>
      <c r="E1097" s="4">
        <f t="shared" si="103"/>
        <v>-2.2996124016582188E-3</v>
      </c>
      <c r="F1097" s="6">
        <f t="shared" si="104"/>
        <v>2.3871530043809562E-2</v>
      </c>
      <c r="G1097" s="4">
        <f t="shared" si="107"/>
        <v>4.4155866842917953E-2</v>
      </c>
      <c r="H1097" s="4">
        <f t="shared" si="105"/>
        <v>0.54061966734185529</v>
      </c>
      <c r="I1097" s="4">
        <f t="shared" si="106"/>
        <v>-1.0650733455630819</v>
      </c>
    </row>
    <row r="1098" spans="1:9" x14ac:dyDescent="0.25">
      <c r="A1098" s="3">
        <v>41772</v>
      </c>
      <c r="B1098" s="4" t="s">
        <v>0</v>
      </c>
      <c r="C1098" s="4">
        <v>531.63283899999999</v>
      </c>
      <c r="D1098" s="6">
        <f t="shared" si="102"/>
        <v>5.9820263706798537E-3</v>
      </c>
      <c r="E1098" s="4">
        <f t="shared" si="103"/>
        <v>6.4078220459375303E-3</v>
      </c>
      <c r="F1098" s="6">
        <f t="shared" si="104"/>
        <v>-4.2579567525767668E-4</v>
      </c>
      <c r="G1098" s="4">
        <f t="shared" si="107"/>
        <v>2.5579551674166662E-2</v>
      </c>
      <c r="H1098" s="4">
        <f t="shared" si="105"/>
        <v>-1.6645939720972391E-2</v>
      </c>
      <c r="I1098" s="4">
        <f t="shared" si="106"/>
        <v>-0.91907707685926987</v>
      </c>
    </row>
    <row r="1099" spans="1:9" x14ac:dyDescent="0.25">
      <c r="A1099" s="3">
        <v>41773</v>
      </c>
      <c r="B1099" s="4" t="s">
        <v>0</v>
      </c>
      <c r="C1099" s="4">
        <v>525.21044670000003</v>
      </c>
      <c r="D1099" s="6">
        <f t="shared" si="102"/>
        <v>-1.2080503364089508E-2</v>
      </c>
      <c r="E1099" s="4">
        <f t="shared" si="103"/>
        <v>1.2879370548710405E-2</v>
      </c>
      <c r="F1099" s="6">
        <f t="shared" si="104"/>
        <v>-2.4959873912799913E-2</v>
      </c>
      <c r="G1099" s="4">
        <f t="shared" si="107"/>
        <v>1.0975530457904203E-2</v>
      </c>
      <c r="H1099" s="4">
        <f t="shared" si="105"/>
        <v>-2.2741382759158273</v>
      </c>
      <c r="I1099" s="4">
        <f t="shared" si="106"/>
        <v>-3.5047909821973784</v>
      </c>
    </row>
    <row r="1100" spans="1:9" x14ac:dyDescent="0.25">
      <c r="A1100" s="3">
        <v>41774</v>
      </c>
      <c r="B1100" s="4" t="s">
        <v>0</v>
      </c>
      <c r="C1100" s="4">
        <v>518.55862130000003</v>
      </c>
      <c r="D1100" s="6">
        <f t="shared" si="102"/>
        <v>-1.2665066816158603E-2</v>
      </c>
      <c r="E1100" s="4">
        <f t="shared" si="103"/>
        <v>8.8930102442270047E-3</v>
      </c>
      <c r="F1100" s="6">
        <f t="shared" si="104"/>
        <v>-2.1558077060385608E-2</v>
      </c>
      <c r="G1100" s="4">
        <f t="shared" si="107"/>
        <v>7.844909380614333E-2</v>
      </c>
      <c r="H1100" s="4">
        <f t="shared" si="105"/>
        <v>-0.27480339178497176</v>
      </c>
      <c r="I1100" s="4">
        <f t="shared" si="106"/>
        <v>-0.95669698527293512</v>
      </c>
    </row>
    <row r="1101" spans="1:9" x14ac:dyDescent="0.25">
      <c r="A1101" s="3">
        <v>41775</v>
      </c>
      <c r="B1101" s="4" t="s">
        <v>0</v>
      </c>
      <c r="C1101" s="4">
        <v>519.20687950000001</v>
      </c>
      <c r="D1101" s="6">
        <f t="shared" si="102"/>
        <v>1.2501155575715553E-3</v>
      </c>
      <c r="E1101" s="4">
        <f t="shared" si="103"/>
        <v>-2.7863698637103631E-3</v>
      </c>
      <c r="F1101" s="6">
        <f t="shared" si="104"/>
        <v>4.0364854212819185E-3</v>
      </c>
      <c r="G1101" s="4">
        <f t="shared" si="107"/>
        <v>3.1793919873533555E-2</v>
      </c>
      <c r="H1101" s="4">
        <f t="shared" si="105"/>
        <v>0.12695777800717298</v>
      </c>
      <c r="I1101" s="4">
        <f t="shared" si="106"/>
        <v>-0.92699767190293203</v>
      </c>
    </row>
    <row r="1102" spans="1:9" x14ac:dyDescent="0.25">
      <c r="A1102" s="3">
        <v>41778</v>
      </c>
      <c r="B1102" s="4" t="s">
        <v>0</v>
      </c>
      <c r="C1102" s="4">
        <v>527.41437480000002</v>
      </c>
      <c r="D1102" s="6">
        <f t="shared" si="102"/>
        <v>1.5807755297664549E-2</v>
      </c>
      <c r="E1102" s="4">
        <f t="shared" si="103"/>
        <v>-8.5412477047898793E-3</v>
      </c>
      <c r="F1102" s="6">
        <f t="shared" si="104"/>
        <v>2.4349003002454427E-2</v>
      </c>
      <c r="G1102" s="4">
        <f t="shared" si="107"/>
        <v>1.3825328187223124E-2</v>
      </c>
      <c r="H1102" s="4">
        <f t="shared" si="105"/>
        <v>1.7611880653189056</v>
      </c>
      <c r="I1102" s="4">
        <f t="shared" si="106"/>
        <v>-2.4698302339155473</v>
      </c>
    </row>
    <row r="1103" spans="1:9" x14ac:dyDescent="0.25">
      <c r="A1103" s="3">
        <v>41779</v>
      </c>
      <c r="B1103" s="4" t="s">
        <v>0</v>
      </c>
      <c r="C1103" s="4">
        <v>528.32191020000005</v>
      </c>
      <c r="D1103" s="6">
        <f t="shared" si="102"/>
        <v>1.7207255686653856E-3</v>
      </c>
      <c r="E1103" s="4">
        <f t="shared" si="103"/>
        <v>-3.4004953750344014E-3</v>
      </c>
      <c r="F1103" s="6">
        <f t="shared" si="104"/>
        <v>5.1212209436997868E-3</v>
      </c>
      <c r="G1103" s="4">
        <f t="shared" si="107"/>
        <v>6.0978083732724515E-2</v>
      </c>
      <c r="H1103" s="4">
        <f t="shared" si="105"/>
        <v>8.3984615950655581E-2</v>
      </c>
      <c r="I1103" s="4">
        <f t="shared" si="106"/>
        <v>-0.92246524106286221</v>
      </c>
    </row>
    <row r="1104" spans="1:9" x14ac:dyDescent="0.25">
      <c r="A1104" s="3">
        <v>41780</v>
      </c>
      <c r="B1104" s="4" t="s">
        <v>0</v>
      </c>
      <c r="C1104" s="4">
        <v>537.46684979999998</v>
      </c>
      <c r="D1104" s="6">
        <f t="shared" si="102"/>
        <v>1.7309408191187921E-2</v>
      </c>
      <c r="E1104" s="4">
        <f t="shared" si="103"/>
        <v>6.42586139080041E-3</v>
      </c>
      <c r="F1104" s="6">
        <f t="shared" si="104"/>
        <v>1.0883546800387511E-2</v>
      </c>
      <c r="G1104" s="4">
        <f t="shared" si="107"/>
        <v>2.3978530208695857E-2</v>
      </c>
      <c r="H1104" s="4">
        <f t="shared" si="105"/>
        <v>0.45388715261791035</v>
      </c>
      <c r="I1104" s="4">
        <f t="shared" si="106"/>
        <v>-1.0219453068604698</v>
      </c>
    </row>
    <row r="1105" spans="1:9" x14ac:dyDescent="0.25">
      <c r="A1105" s="3">
        <v>41781</v>
      </c>
      <c r="B1105" s="4" t="s">
        <v>0</v>
      </c>
      <c r="C1105" s="4">
        <v>543.57008729999995</v>
      </c>
      <c r="D1105" s="6">
        <f t="shared" si="102"/>
        <v>1.1355560816952878E-2</v>
      </c>
      <c r="E1105" s="4">
        <f t="shared" si="103"/>
        <v>5.4993038426185371E-3</v>
      </c>
      <c r="F1105" s="6">
        <f t="shared" si="104"/>
        <v>5.8562569743343404E-3</v>
      </c>
      <c r="G1105" s="4">
        <f t="shared" si="107"/>
        <v>1.8762711905788067E-2</v>
      </c>
      <c r="H1105" s="4">
        <f t="shared" si="105"/>
        <v>0.3121220964080228</v>
      </c>
      <c r="I1105" s="4">
        <f t="shared" si="106"/>
        <v>-0.96764863473774221</v>
      </c>
    </row>
    <row r="1106" spans="1:9" x14ac:dyDescent="0.25">
      <c r="A1106" s="3">
        <v>41782</v>
      </c>
      <c r="B1106" s="4" t="s">
        <v>0</v>
      </c>
      <c r="C1106" s="4">
        <v>551.18920200000002</v>
      </c>
      <c r="D1106" s="6">
        <f t="shared" si="102"/>
        <v>1.4016802760147154E-2</v>
      </c>
      <c r="E1106" s="4">
        <f t="shared" si="103"/>
        <v>7.1442301384631963E-3</v>
      </c>
      <c r="F1106" s="6">
        <f t="shared" si="104"/>
        <v>6.8725726216839573E-3</v>
      </c>
      <c r="G1106" s="4">
        <f t="shared" si="107"/>
        <v>1.3828141168093838E-2</v>
      </c>
      <c r="H1106" s="4">
        <f t="shared" si="105"/>
        <v>0.49699902091983905</v>
      </c>
      <c r="I1106" s="4">
        <f t="shared" si="106"/>
        <v>-1.0424425466023119</v>
      </c>
    </row>
    <row r="1107" spans="1:9" x14ac:dyDescent="0.25">
      <c r="A1107" s="3">
        <v>41786</v>
      </c>
      <c r="B1107" s="4" t="s">
        <v>0</v>
      </c>
      <c r="C1107" s="4">
        <v>564.40300649999995</v>
      </c>
      <c r="D1107" s="6">
        <f t="shared" si="102"/>
        <v>2.3973264447223194E-2</v>
      </c>
      <c r="E1107" s="4">
        <f t="shared" si="103"/>
        <v>9.6423197872518469E-3</v>
      </c>
      <c r="F1107" s="6">
        <f t="shared" si="104"/>
        <v>1.4330944659971347E-2</v>
      </c>
      <c r="G1107" s="4">
        <f t="shared" si="107"/>
        <v>1.8562456799032942E-2</v>
      </c>
      <c r="H1107" s="4">
        <f t="shared" si="105"/>
        <v>0.77203921954544041</v>
      </c>
      <c r="I1107" s="4">
        <f t="shared" si="106"/>
        <v>-1.216960811462839</v>
      </c>
    </row>
    <row r="1108" spans="1:9" x14ac:dyDescent="0.25">
      <c r="A1108" s="3">
        <v>41787</v>
      </c>
      <c r="B1108" s="4" t="s">
        <v>0</v>
      </c>
      <c r="C1108" s="4">
        <v>560.14468680000004</v>
      </c>
      <c r="D1108" s="6">
        <f t="shared" si="102"/>
        <v>-7.5448210781278013E-3</v>
      </c>
      <c r="E1108" s="4">
        <f t="shared" si="103"/>
        <v>8.8364774757448104E-3</v>
      </c>
      <c r="F1108" s="6">
        <f t="shared" si="104"/>
        <v>-1.638129855387261E-2</v>
      </c>
      <c r="G1108" s="4">
        <f t="shared" si="107"/>
        <v>2.7917780627319415E-2</v>
      </c>
      <c r="H1108" s="4">
        <f t="shared" si="105"/>
        <v>-0.58676937012114827</v>
      </c>
      <c r="I1108" s="4">
        <f t="shared" si="106"/>
        <v>-1.0910876800608573</v>
      </c>
    </row>
    <row r="1109" spans="1:9" x14ac:dyDescent="0.25">
      <c r="A1109" s="3">
        <v>41788</v>
      </c>
      <c r="B1109" s="4" t="s">
        <v>0</v>
      </c>
      <c r="C1109" s="4">
        <v>558.54903760000002</v>
      </c>
      <c r="D1109" s="6">
        <f t="shared" si="102"/>
        <v>-2.8486375709741449E-3</v>
      </c>
      <c r="E1109" s="4">
        <f t="shared" si="103"/>
        <v>1.3457006721700863E-2</v>
      </c>
      <c r="F1109" s="6">
        <f t="shared" si="104"/>
        <v>-1.6305644292675007E-2</v>
      </c>
      <c r="G1109" s="4">
        <f t="shared" si="107"/>
        <v>2.3350694384787058E-2</v>
      </c>
      <c r="H1109" s="4">
        <f t="shared" si="105"/>
        <v>-0.69829376480119187</v>
      </c>
      <c r="I1109" s="4">
        <f t="shared" si="106"/>
        <v>-1.1627456241847838</v>
      </c>
    </row>
    <row r="1110" spans="1:9" x14ac:dyDescent="0.25">
      <c r="A1110" s="3">
        <v>41789</v>
      </c>
      <c r="B1110" s="4" t="s">
        <v>0</v>
      </c>
      <c r="C1110" s="4">
        <v>558.3595828</v>
      </c>
      <c r="D1110" s="6">
        <f t="shared" si="102"/>
        <v>-3.3919098816118229E-4</v>
      </c>
      <c r="E1110" s="4">
        <f t="shared" si="103"/>
        <v>4.4575799998297465E-3</v>
      </c>
      <c r="F1110" s="6">
        <f t="shared" si="104"/>
        <v>-4.7967709879909292E-3</v>
      </c>
      <c r="G1110" s="4">
        <f t="shared" si="107"/>
        <v>2.6086486541541918E-2</v>
      </c>
      <c r="H1110" s="4">
        <f t="shared" si="105"/>
        <v>-0.18387953396300497</v>
      </c>
      <c r="I1110" s="4">
        <f t="shared" si="106"/>
        <v>-0.93584437470989856</v>
      </c>
    </row>
    <row r="1111" spans="1:9" x14ac:dyDescent="0.25">
      <c r="A1111" s="3">
        <v>41792</v>
      </c>
      <c r="B1111" s="4" t="s">
        <v>0</v>
      </c>
      <c r="C1111" s="4">
        <v>552.41583030000004</v>
      </c>
      <c r="D1111" s="6">
        <f t="shared" si="102"/>
        <v>-1.0645026400718127E-2</v>
      </c>
      <c r="E1111" s="4">
        <f t="shared" si="103"/>
        <v>-3.3995998698767536E-3</v>
      </c>
      <c r="F1111" s="6">
        <f t="shared" si="104"/>
        <v>-7.2454265308413736E-3</v>
      </c>
      <c r="G1111" s="4">
        <f t="shared" si="107"/>
        <v>1.2802739792548925E-2</v>
      </c>
      <c r="H1111" s="4">
        <f t="shared" si="105"/>
        <v>-0.56592781297157535</v>
      </c>
      <c r="I1111" s="4">
        <f t="shared" si="106"/>
        <v>-1.0790756779520678</v>
      </c>
    </row>
    <row r="1112" spans="1:9" x14ac:dyDescent="0.25">
      <c r="A1112" s="3">
        <v>41793</v>
      </c>
      <c r="B1112" s="4" t="s">
        <v>0</v>
      </c>
      <c r="C1112" s="4">
        <v>543.45039689999999</v>
      </c>
      <c r="D1112" s="6">
        <f t="shared" si="102"/>
        <v>-1.6229501234841879E-2</v>
      </c>
      <c r="E1112" s="4">
        <f t="shared" si="103"/>
        <v>-1.0022801251035193E-3</v>
      </c>
      <c r="F1112" s="6">
        <f t="shared" si="104"/>
        <v>-1.522722110973836E-2</v>
      </c>
      <c r="G1112" s="4">
        <f t="shared" si="107"/>
        <v>2.0668128520670129E-2</v>
      </c>
      <c r="H1112" s="4">
        <f t="shared" si="105"/>
        <v>-0.73674890759991474</v>
      </c>
      <c r="I1112" s="4">
        <f t="shared" si="106"/>
        <v>-1.1903380096295064</v>
      </c>
    </row>
    <row r="1113" spans="1:9" x14ac:dyDescent="0.25">
      <c r="A1113" s="3">
        <v>41794</v>
      </c>
      <c r="B1113" s="4" t="s">
        <v>0</v>
      </c>
      <c r="C1113" s="4">
        <v>543.17115960000001</v>
      </c>
      <c r="D1113" s="6">
        <f t="shared" si="102"/>
        <v>-5.1382297555182274E-4</v>
      </c>
      <c r="E1113" s="4">
        <f t="shared" si="103"/>
        <v>-4.1735749424603842E-3</v>
      </c>
      <c r="F1113" s="6">
        <f t="shared" si="104"/>
        <v>3.6597519669085616E-3</v>
      </c>
      <c r="G1113" s="4">
        <f t="shared" si="107"/>
        <v>2.6991009361122222E-2</v>
      </c>
      <c r="H1113" s="4">
        <f t="shared" si="105"/>
        <v>0.1355915193071682</v>
      </c>
      <c r="I1113" s="4">
        <f t="shared" si="106"/>
        <v>-0.92813106325868577</v>
      </c>
    </row>
    <row r="1114" spans="1:9" x14ac:dyDescent="0.25">
      <c r="A1114" s="3">
        <v>41795</v>
      </c>
      <c r="B1114" s="4" t="s">
        <v>0</v>
      </c>
      <c r="C1114" s="4">
        <v>552.38592340000002</v>
      </c>
      <c r="D1114" s="6">
        <f t="shared" si="102"/>
        <v>1.6964751602028934E-2</v>
      </c>
      <c r="E1114" s="4">
        <f t="shared" si="103"/>
        <v>-9.4642741877157439E-3</v>
      </c>
      <c r="F1114" s="6">
        <f t="shared" si="104"/>
        <v>2.6429025789744678E-2</v>
      </c>
      <c r="G1114" s="4">
        <f t="shared" si="107"/>
        <v>1.2356177889531359E-2</v>
      </c>
      <c r="H1114" s="4">
        <f t="shared" si="105"/>
        <v>2.1389321217312993</v>
      </c>
      <c r="I1114" s="4">
        <f t="shared" si="106"/>
        <v>-3.2064538438916514</v>
      </c>
    </row>
    <row r="1115" spans="1:9" x14ac:dyDescent="0.25">
      <c r="A1115" s="3">
        <v>41796</v>
      </c>
      <c r="B1115" s="4" t="s">
        <v>0</v>
      </c>
      <c r="C1115" s="4">
        <v>554.80927410000004</v>
      </c>
      <c r="D1115" s="6">
        <f t="shared" si="102"/>
        <v>4.3870609248765919E-3</v>
      </c>
      <c r="E1115" s="4">
        <f t="shared" si="103"/>
        <v>-5.1664052022936096E-3</v>
      </c>
      <c r="F1115" s="6">
        <f t="shared" si="104"/>
        <v>9.5534661271702015E-3</v>
      </c>
      <c r="G1115" s="4">
        <f t="shared" si="107"/>
        <v>7.3849880848947697E-2</v>
      </c>
      <c r="H1115" s="4">
        <f t="shared" si="105"/>
        <v>0.12936332486048055</v>
      </c>
      <c r="I1115" s="4">
        <f t="shared" si="106"/>
        <v>-0.92730596811415178</v>
      </c>
    </row>
    <row r="1116" spans="1:9" x14ac:dyDescent="0.25">
      <c r="A1116" s="3">
        <v>41799</v>
      </c>
      <c r="B1116" s="4" t="s">
        <v>0</v>
      </c>
      <c r="C1116" s="4">
        <v>560.5834701</v>
      </c>
      <c r="D1116" s="6">
        <f t="shared" si="102"/>
        <v>1.040753330839096E-2</v>
      </c>
      <c r="E1116" s="4">
        <f t="shared" si="103"/>
        <v>6.328000281617307E-3</v>
      </c>
      <c r="F1116" s="6">
        <f t="shared" si="104"/>
        <v>4.0795330267736534E-3</v>
      </c>
      <c r="G1116" s="4">
        <f t="shared" si="107"/>
        <v>2.8970878075282539E-2</v>
      </c>
      <c r="H1116" s="4">
        <f t="shared" si="105"/>
        <v>0.14081495963542237</v>
      </c>
      <c r="I1116" s="4">
        <f t="shared" si="106"/>
        <v>-0.92885295963323555</v>
      </c>
    </row>
    <row r="1117" spans="1:9" x14ac:dyDescent="0.25">
      <c r="A1117" s="3">
        <v>41800</v>
      </c>
      <c r="B1117" s="4" t="s">
        <v>0</v>
      </c>
      <c r="C1117" s="4">
        <v>559.01772779999999</v>
      </c>
      <c r="D1117" s="6">
        <f t="shared" si="102"/>
        <v>-2.7930582750160383E-3</v>
      </c>
      <c r="E1117" s="4">
        <f t="shared" si="103"/>
        <v>6.8727830745929086E-3</v>
      </c>
      <c r="F1117" s="6">
        <f t="shared" si="104"/>
        <v>-9.6658413496089474E-3</v>
      </c>
      <c r="G1117" s="4">
        <f t="shared" si="107"/>
        <v>1.3058605738684149E-2</v>
      </c>
      <c r="H1117" s="4">
        <f t="shared" si="105"/>
        <v>-0.74018938491843356</v>
      </c>
      <c r="I1117" s="4">
        <f t="shared" si="106"/>
        <v>-1.1928786959776372</v>
      </c>
    </row>
    <row r="1118" spans="1:9" x14ac:dyDescent="0.25">
      <c r="A1118" s="3">
        <v>41801</v>
      </c>
      <c r="B1118" s="4" t="s">
        <v>0</v>
      </c>
      <c r="C1118" s="4">
        <v>557.31239779999999</v>
      </c>
      <c r="D1118" s="6">
        <f t="shared" si="102"/>
        <v>-3.050583040919447E-3</v>
      </c>
      <c r="E1118" s="4">
        <f t="shared" si="103"/>
        <v>5.3220749376850437E-3</v>
      </c>
      <c r="F1118" s="6">
        <f t="shared" si="104"/>
        <v>-8.3726579786044912E-3</v>
      </c>
      <c r="G1118" s="4">
        <f t="shared" si="107"/>
        <v>2.6403041200083088E-2</v>
      </c>
      <c r="H1118" s="4">
        <f t="shared" si="105"/>
        <v>-0.31710960548658856</v>
      </c>
      <c r="I1118" s="4">
        <f t="shared" si="106"/>
        <v>-0.96921778415060256</v>
      </c>
    </row>
    <row r="1119" spans="1:9" x14ac:dyDescent="0.25">
      <c r="A1119" s="3">
        <v>41802</v>
      </c>
      <c r="B1119" s="4" t="s">
        <v>0</v>
      </c>
      <c r="C1119" s="4">
        <v>549.84288240000001</v>
      </c>
      <c r="D1119" s="6">
        <f t="shared" si="102"/>
        <v>-1.3402744007644572E-2</v>
      </c>
      <c r="E1119" s="4">
        <f t="shared" si="103"/>
        <v>2.1195409553346973E-3</v>
      </c>
      <c r="F1119" s="6">
        <f t="shared" si="104"/>
        <v>-1.552228496297927E-2</v>
      </c>
      <c r="G1119" s="4">
        <f t="shared" si="107"/>
        <v>1.5659273489654284E-2</v>
      </c>
      <c r="H1119" s="4">
        <f t="shared" si="105"/>
        <v>-0.99125192322839761</v>
      </c>
      <c r="I1119" s="4">
        <f t="shared" si="106"/>
        <v>-1.4102287208566713</v>
      </c>
    </row>
    <row r="1120" spans="1:9" x14ac:dyDescent="0.25">
      <c r="A1120" s="3">
        <v>41803</v>
      </c>
      <c r="B1120" s="4" t="s">
        <v>0</v>
      </c>
      <c r="C1120" s="4">
        <v>550.25175879999995</v>
      </c>
      <c r="D1120" s="6">
        <f t="shared" si="102"/>
        <v>7.4362406623368902E-4</v>
      </c>
      <c r="E1120" s="4">
        <f t="shared" si="103"/>
        <v>-2.0218228289999589E-3</v>
      </c>
      <c r="F1120" s="6">
        <f t="shared" si="104"/>
        <v>2.765446895233648E-3</v>
      </c>
      <c r="G1120" s="4">
        <f t="shared" si="107"/>
        <v>3.495329066429078E-2</v>
      </c>
      <c r="H1120" s="4">
        <f t="shared" si="105"/>
        <v>7.9118356031036091E-2</v>
      </c>
      <c r="I1120" s="4">
        <f t="shared" si="106"/>
        <v>-0.92206839033519949</v>
      </c>
    </row>
    <row r="1121" spans="1:9" x14ac:dyDescent="0.25">
      <c r="A1121" s="3">
        <v>41806</v>
      </c>
      <c r="B1121" s="4" t="s">
        <v>0</v>
      </c>
      <c r="C1121" s="4">
        <v>542.7922519</v>
      </c>
      <c r="D1121" s="6">
        <f t="shared" si="102"/>
        <v>-1.3556534405756E-2</v>
      </c>
      <c r="E1121" s="4">
        <f t="shared" si="103"/>
        <v>-6.0578234197486876E-3</v>
      </c>
      <c r="F1121" s="6">
        <f t="shared" si="104"/>
        <v>-7.4987109860073127E-3</v>
      </c>
      <c r="G1121" s="4">
        <f t="shared" si="107"/>
        <v>1.449892921348706E-2</v>
      </c>
      <c r="H1121" s="4">
        <f t="shared" si="105"/>
        <v>-0.51719067495218407</v>
      </c>
      <c r="I1121" s="4">
        <f t="shared" si="106"/>
        <v>-1.0526816303334205</v>
      </c>
    </row>
    <row r="1122" spans="1:9" x14ac:dyDescent="0.25">
      <c r="A1122" s="3">
        <v>41807</v>
      </c>
      <c r="B1122" s="4" t="s">
        <v>0</v>
      </c>
      <c r="C1122" s="4">
        <v>541.52570619999995</v>
      </c>
      <c r="D1122" s="6">
        <f t="shared" si="102"/>
        <v>-2.3333894239768744E-3</v>
      </c>
      <c r="E1122" s="4">
        <f t="shared" si="103"/>
        <v>-3.8206191074940487E-3</v>
      </c>
      <c r="F1122" s="6">
        <f t="shared" si="104"/>
        <v>1.4872296835171744E-3</v>
      </c>
      <c r="G1122" s="4">
        <f t="shared" si="107"/>
        <v>1.9275239604063788E-2</v>
      </c>
      <c r="H1122" s="4">
        <f t="shared" si="105"/>
        <v>7.715751990982371E-2</v>
      </c>
      <c r="I1122" s="4">
        <f t="shared" si="106"/>
        <v>-0.92191517464399009</v>
      </c>
    </row>
    <row r="1123" spans="1:9" x14ac:dyDescent="0.25">
      <c r="A1123" s="3">
        <v>41808</v>
      </c>
      <c r="B1123" s="4" t="s">
        <v>0</v>
      </c>
      <c r="C1123" s="4">
        <v>551.8573566</v>
      </c>
      <c r="D1123" s="6">
        <f t="shared" si="102"/>
        <v>1.9078781084095577E-2</v>
      </c>
      <c r="E1123" s="4">
        <f t="shared" si="103"/>
        <v>-4.9546915136373234E-3</v>
      </c>
      <c r="F1123" s="6">
        <f t="shared" si="104"/>
        <v>2.4033472597732902E-2</v>
      </c>
      <c r="G1123" s="4">
        <f t="shared" si="107"/>
        <v>9.2716152275477901E-3</v>
      </c>
      <c r="H1123" s="4">
        <f t="shared" si="105"/>
        <v>2.592155952106892</v>
      </c>
      <c r="I1123" s="4">
        <f t="shared" si="106"/>
        <v>-4.278574773226266</v>
      </c>
    </row>
    <row r="1124" spans="1:9" x14ac:dyDescent="0.25">
      <c r="A1124" s="3">
        <v>41809</v>
      </c>
      <c r="B1124" s="4" t="s">
        <v>0</v>
      </c>
      <c r="C1124" s="4">
        <v>553.38318149999998</v>
      </c>
      <c r="D1124" s="6">
        <f t="shared" si="102"/>
        <v>2.7648900241189155E-3</v>
      </c>
      <c r="E1124" s="4">
        <f t="shared" si="103"/>
        <v>-5.0433433546470943E-3</v>
      </c>
      <c r="F1124" s="6">
        <f t="shared" si="104"/>
        <v>7.8082333787660094E-3</v>
      </c>
      <c r="G1124" s="4">
        <f t="shared" si="107"/>
        <v>8.9320479939400829E-2</v>
      </c>
      <c r="H1124" s="4">
        <f t="shared" si="105"/>
        <v>8.7418175362061173E-2</v>
      </c>
      <c r="I1124" s="4">
        <f t="shared" si="106"/>
        <v>-0.9227595018964887</v>
      </c>
    </row>
    <row r="1125" spans="1:9" x14ac:dyDescent="0.25">
      <c r="A1125" s="3">
        <v>41810</v>
      </c>
      <c r="B1125" s="4" t="s">
        <v>0</v>
      </c>
      <c r="C1125" s="4">
        <v>554.83918100000005</v>
      </c>
      <c r="D1125" s="6">
        <f t="shared" si="102"/>
        <v>2.6310873706957344E-3</v>
      </c>
      <c r="E1125" s="4">
        <f t="shared" si="103"/>
        <v>6.5788711236143462E-3</v>
      </c>
      <c r="F1125" s="6">
        <f t="shared" si="104"/>
        <v>-3.9477837529186119E-3</v>
      </c>
      <c r="G1125" s="4">
        <f t="shared" si="107"/>
        <v>3.4589339591039749E-2</v>
      </c>
      <c r="H1125" s="4">
        <f t="shared" si="105"/>
        <v>-0.11413296118383456</v>
      </c>
      <c r="I1125" s="4">
        <f t="shared" si="106"/>
        <v>-0.92545169961896789</v>
      </c>
    </row>
    <row r="1126" spans="1:9" x14ac:dyDescent="0.25">
      <c r="A1126" s="3">
        <v>41813</v>
      </c>
      <c r="B1126" s="4" t="s">
        <v>0</v>
      </c>
      <c r="C1126" s="4">
        <v>563.40574849999996</v>
      </c>
      <c r="D1126" s="6">
        <f t="shared" si="102"/>
        <v>1.5439730634307718E-2</v>
      </c>
      <c r="E1126" s="4">
        <f t="shared" si="103"/>
        <v>6.8999315278298915E-3</v>
      </c>
      <c r="F1126" s="6">
        <f t="shared" si="104"/>
        <v>8.5397991064778273E-3</v>
      </c>
      <c r="G1126" s="4">
        <f t="shared" si="107"/>
        <v>1.4646755735088694E-2</v>
      </c>
      <c r="H1126" s="4">
        <f t="shared" si="105"/>
        <v>0.58305055815325335</v>
      </c>
      <c r="I1126" s="4">
        <f t="shared" si="106"/>
        <v>-1.0889125098860828</v>
      </c>
    </row>
    <row r="1127" spans="1:9" x14ac:dyDescent="0.25">
      <c r="A1127" s="3">
        <v>41814</v>
      </c>
      <c r="B1127" s="4" t="s">
        <v>0</v>
      </c>
      <c r="C1127" s="4">
        <v>563.07664509999995</v>
      </c>
      <c r="D1127" s="6">
        <f t="shared" si="102"/>
        <v>-5.8413213013215853E-4</v>
      </c>
      <c r="E1127" s="4">
        <f t="shared" si="103"/>
        <v>1.8528725034297939E-3</v>
      </c>
      <c r="F1127" s="6">
        <f t="shared" si="104"/>
        <v>-2.4370046335619525E-3</v>
      </c>
      <c r="G1127" s="4">
        <f t="shared" si="107"/>
        <v>2.1396214904426624E-2</v>
      </c>
      <c r="H1127" s="4">
        <f t="shared" si="105"/>
        <v>-0.1138988668999471</v>
      </c>
      <c r="I1127" s="4">
        <f t="shared" si="106"/>
        <v>-0.92542500914521864</v>
      </c>
    </row>
    <row r="1128" spans="1:9" x14ac:dyDescent="0.25">
      <c r="A1128" s="3">
        <v>41815</v>
      </c>
      <c r="B1128" s="4" t="s">
        <v>0</v>
      </c>
      <c r="C1128" s="4">
        <v>577.06828599999994</v>
      </c>
      <c r="D1128" s="6">
        <f t="shared" si="102"/>
        <v>2.4848554849074122E-2</v>
      </c>
      <c r="E1128" s="4">
        <f t="shared" si="103"/>
        <v>6.7080527857481236E-3</v>
      </c>
      <c r="F1128" s="6">
        <f t="shared" si="104"/>
        <v>1.8140502063326E-2</v>
      </c>
      <c r="G1128" s="4">
        <f t="shared" si="107"/>
        <v>1.0335825045909717E-2</v>
      </c>
      <c r="H1128" s="4">
        <f t="shared" si="105"/>
        <v>1.7551092421504264</v>
      </c>
      <c r="I1128" s="4">
        <f t="shared" si="106"/>
        <v>-2.4591427591455948</v>
      </c>
    </row>
    <row r="1129" spans="1:9" x14ac:dyDescent="0.25">
      <c r="A1129" s="3">
        <v>41816</v>
      </c>
      <c r="B1129" s="4" t="s">
        <v>0</v>
      </c>
      <c r="C1129" s="4">
        <v>574.42551279999998</v>
      </c>
      <c r="D1129" s="6">
        <f t="shared" si="102"/>
        <v>-4.5796542005775128E-3</v>
      </c>
      <c r="E1129" s="4">
        <f t="shared" si="103"/>
        <v>4.5056470624464566E-3</v>
      </c>
      <c r="F1129" s="6">
        <f t="shared" si="104"/>
        <v>-9.0853012630239694E-3</v>
      </c>
      <c r="G1129" s="4">
        <f t="shared" si="107"/>
        <v>6.0669430155455124E-2</v>
      </c>
      <c r="H1129" s="4">
        <f t="shared" si="105"/>
        <v>-0.14975089167220504</v>
      </c>
      <c r="I1129" s="4">
        <f t="shared" si="106"/>
        <v>-0.93015119798298296</v>
      </c>
    </row>
    <row r="1130" spans="1:9" x14ac:dyDescent="0.25">
      <c r="A1130" s="3">
        <v>41817</v>
      </c>
      <c r="B1130" s="4" t="s">
        <v>0</v>
      </c>
      <c r="C1130" s="4">
        <v>575.66215160000002</v>
      </c>
      <c r="D1130" s="6">
        <f t="shared" si="102"/>
        <v>2.1528270810468033E-3</v>
      </c>
      <c r="E1130" s="4">
        <f t="shared" si="103"/>
        <v>9.3201027459038927E-3</v>
      </c>
      <c r="F1130" s="6">
        <f t="shared" si="104"/>
        <v>-7.1672756648570894E-3</v>
      </c>
      <c r="G1130" s="4">
        <f t="shared" si="107"/>
        <v>2.4241801863948694E-2</v>
      </c>
      <c r="H1130" s="4">
        <f t="shared" si="105"/>
        <v>-0.29565771162893367</v>
      </c>
      <c r="I1130" s="4">
        <f t="shared" si="106"/>
        <v>-0.96264527442750158</v>
      </c>
    </row>
    <row r="1131" spans="1:9" x14ac:dyDescent="0.25">
      <c r="A1131" s="3">
        <v>41820</v>
      </c>
      <c r="B1131" s="4" t="s">
        <v>0</v>
      </c>
      <c r="C1131" s="4">
        <v>573.70749209999997</v>
      </c>
      <c r="D1131" s="6">
        <f t="shared" si="102"/>
        <v>-3.3954976796151206E-3</v>
      </c>
      <c r="E1131" s="4">
        <f t="shared" si="103"/>
        <v>5.8592613245032768E-3</v>
      </c>
      <c r="F1131" s="6">
        <f t="shared" si="104"/>
        <v>-9.2547590041183979E-3</v>
      </c>
      <c r="G1131" s="4">
        <f t="shared" si="107"/>
        <v>1.4619431710362688E-2</v>
      </c>
      <c r="H1131" s="4">
        <f t="shared" si="105"/>
        <v>-0.63304505862278826</v>
      </c>
      <c r="I1131" s="4">
        <f t="shared" si="106"/>
        <v>-1.1193115563280374</v>
      </c>
    </row>
    <row r="1132" spans="1:9" x14ac:dyDescent="0.25">
      <c r="A1132" s="3">
        <v>41821</v>
      </c>
      <c r="B1132" s="4" t="s">
        <v>0</v>
      </c>
      <c r="C1132" s="4">
        <v>581.07727629999999</v>
      </c>
      <c r="D1132" s="6">
        <f t="shared" si="102"/>
        <v>1.2845891506530017E-2</v>
      </c>
      <c r="E1132" s="4">
        <f t="shared" si="103"/>
        <v>-5.7961608876751518E-4</v>
      </c>
      <c r="F1132" s="6">
        <f t="shared" si="104"/>
        <v>1.3425507595297533E-2</v>
      </c>
      <c r="G1132" s="4">
        <f t="shared" si="107"/>
        <v>2.3011576672329122E-2</v>
      </c>
      <c r="H1132" s="4">
        <f t="shared" si="105"/>
        <v>0.58342406461185203</v>
      </c>
      <c r="I1132" s="4">
        <f t="shared" si="106"/>
        <v>-1.0891303527887799</v>
      </c>
    </row>
    <row r="1133" spans="1:9" x14ac:dyDescent="0.25">
      <c r="A1133" s="3">
        <v>41822</v>
      </c>
      <c r="B1133" s="4" t="s">
        <v>0</v>
      </c>
      <c r="C1133" s="4">
        <v>580.74322949999998</v>
      </c>
      <c r="D1133" s="6">
        <f t="shared" si="102"/>
        <v>-5.7487500135446285E-4</v>
      </c>
      <c r="E1133" s="4">
        <f t="shared" si="103"/>
        <v>-6.3846321950799167E-4</v>
      </c>
      <c r="F1133" s="6">
        <f t="shared" si="104"/>
        <v>6.3588218153528826E-5</v>
      </c>
      <c r="G1133" s="4">
        <f t="shared" si="107"/>
        <v>2.245476861163365E-2</v>
      </c>
      <c r="H1133" s="4">
        <f t="shared" si="105"/>
        <v>2.831835823085892E-3</v>
      </c>
      <c r="I1133" s="4">
        <f t="shared" si="106"/>
        <v>-0.91894254285173715</v>
      </c>
    </row>
    <row r="1134" spans="1:9" x14ac:dyDescent="0.25">
      <c r="A1134" s="3">
        <v>41823</v>
      </c>
      <c r="B1134" s="4" t="s">
        <v>0</v>
      </c>
      <c r="C1134" s="4">
        <v>583.13166799999999</v>
      </c>
      <c r="D1134" s="6">
        <f t="shared" si="102"/>
        <v>4.1127272410155695E-3</v>
      </c>
      <c r="E1134" s="4">
        <f t="shared" si="103"/>
        <v>3.8708271763385101E-3</v>
      </c>
      <c r="F1134" s="6">
        <f t="shared" si="104"/>
        <v>2.4190006467705947E-4</v>
      </c>
      <c r="G1134" s="4">
        <f t="shared" si="107"/>
        <v>9.9132041830687911E-3</v>
      </c>
      <c r="H1134" s="4">
        <f t="shared" si="105"/>
        <v>2.4401803918274123E-2</v>
      </c>
      <c r="I1134" s="4">
        <f t="shared" si="106"/>
        <v>-0.91923625722190572</v>
      </c>
    </row>
    <row r="1135" spans="1:9" x14ac:dyDescent="0.25">
      <c r="A1135" s="3">
        <v>41827</v>
      </c>
      <c r="B1135" s="4" t="s">
        <v>0</v>
      </c>
      <c r="C1135" s="4">
        <v>580.65845119999994</v>
      </c>
      <c r="D1135" s="6">
        <f t="shared" si="102"/>
        <v>-4.2412664852906692E-3</v>
      </c>
      <c r="E1135" s="4">
        <f t="shared" si="103"/>
        <v>3.7144021801660651E-3</v>
      </c>
      <c r="F1135" s="6">
        <f t="shared" si="104"/>
        <v>-7.9556686654567339E-3</v>
      </c>
      <c r="G1135" s="4">
        <f t="shared" si="107"/>
        <v>6.3095187034185414E-3</v>
      </c>
      <c r="H1135" s="4">
        <f t="shared" si="105"/>
        <v>-1.260899450404402</v>
      </c>
      <c r="I1135" s="4">
        <f t="shared" si="106"/>
        <v>-1.7138722452197341</v>
      </c>
    </row>
    <row r="1136" spans="1:9" x14ac:dyDescent="0.25">
      <c r="A1136" s="3">
        <v>41828</v>
      </c>
      <c r="B1136" s="4" t="s">
        <v>0</v>
      </c>
      <c r="C1136" s="4">
        <v>569.52894530000003</v>
      </c>
      <c r="D1136" s="6">
        <f t="shared" si="102"/>
        <v>-1.9167043684629858E-2</v>
      </c>
      <c r="E1136" s="4">
        <f t="shared" si="103"/>
        <v>1.3960685835369335E-3</v>
      </c>
      <c r="F1136" s="6">
        <f t="shared" si="104"/>
        <v>-2.0563112268166792E-2</v>
      </c>
      <c r="G1136" s="4">
        <f t="shared" si="107"/>
        <v>4.3697737191270805E-2</v>
      </c>
      <c r="H1136" s="4">
        <f t="shared" si="105"/>
        <v>-0.47057613482728672</v>
      </c>
      <c r="I1136" s="4">
        <f t="shared" si="106"/>
        <v>-1.0296594825391669</v>
      </c>
    </row>
    <row r="1137" spans="1:9" x14ac:dyDescent="0.25">
      <c r="A1137" s="3">
        <v>41829</v>
      </c>
      <c r="B1137" s="4" t="s">
        <v>0</v>
      </c>
      <c r="C1137" s="4">
        <v>574.50528569999994</v>
      </c>
      <c r="D1137" s="6">
        <f t="shared" si="102"/>
        <v>8.7376426449732418E-3</v>
      </c>
      <c r="E1137" s="4">
        <f t="shared" si="103"/>
        <v>-3.621995601371629E-4</v>
      </c>
      <c r="F1137" s="6">
        <f t="shared" si="104"/>
        <v>9.0998422051104047E-3</v>
      </c>
      <c r="G1137" s="4">
        <f t="shared" si="107"/>
        <v>2.3764345715058029E-2</v>
      </c>
      <c r="H1137" s="4">
        <f t="shared" si="105"/>
        <v>0.38291995555949115</v>
      </c>
      <c r="I1137" s="4">
        <f t="shared" si="106"/>
        <v>-0.99225237938751387</v>
      </c>
    </row>
    <row r="1138" spans="1:9" x14ac:dyDescent="0.25">
      <c r="A1138" s="3">
        <v>41830</v>
      </c>
      <c r="B1138" s="4" t="s">
        <v>0</v>
      </c>
      <c r="C1138" s="4">
        <v>569.53889400000003</v>
      </c>
      <c r="D1138" s="6">
        <f t="shared" si="102"/>
        <v>-8.6446405692310897E-3</v>
      </c>
      <c r="E1138" s="4">
        <f t="shared" si="103"/>
        <v>-8.6258849453522499E-3</v>
      </c>
      <c r="F1138" s="6">
        <f t="shared" si="104"/>
        <v>-1.8755623878839722E-5</v>
      </c>
      <c r="G1138" s="4">
        <f t="shared" si="107"/>
        <v>1.6744163817909923E-2</v>
      </c>
      <c r="H1138" s="4">
        <f t="shared" si="105"/>
        <v>-1.1201290242262381E-3</v>
      </c>
      <c r="I1138" s="4">
        <f t="shared" si="106"/>
        <v>-0.91893916054918823</v>
      </c>
    </row>
    <row r="1139" spans="1:9" x14ac:dyDescent="0.25">
      <c r="A1139" s="3">
        <v>41831</v>
      </c>
      <c r="B1139" s="4" t="s">
        <v>0</v>
      </c>
      <c r="C1139" s="4">
        <v>577.59685279999997</v>
      </c>
      <c r="D1139" s="6">
        <f t="shared" si="102"/>
        <v>1.4148215134891099E-2</v>
      </c>
      <c r="E1139" s="4">
        <f t="shared" si="103"/>
        <v>-2.5299032316538615E-3</v>
      </c>
      <c r="F1139" s="6">
        <f t="shared" si="104"/>
        <v>1.667811836654496E-2</v>
      </c>
      <c r="G1139" s="4">
        <f t="shared" si="107"/>
        <v>8.1020631159450726E-3</v>
      </c>
      <c r="H1139" s="4">
        <f t="shared" si="105"/>
        <v>2.0585026465323364</v>
      </c>
      <c r="I1139" s="4">
        <f t="shared" si="106"/>
        <v>-3.0376551060949892</v>
      </c>
    </row>
    <row r="1140" spans="1:9" x14ac:dyDescent="0.25">
      <c r="A1140" s="3">
        <v>41834</v>
      </c>
      <c r="B1140" s="4" t="s">
        <v>0</v>
      </c>
      <c r="C1140" s="4">
        <v>583.27125579999995</v>
      </c>
      <c r="D1140" s="6">
        <f t="shared" si="102"/>
        <v>9.8241584463148318E-3</v>
      </c>
      <c r="E1140" s="4">
        <f t="shared" si="103"/>
        <v>-6.2846107487923852E-4</v>
      </c>
      <c r="F1140" s="6">
        <f t="shared" si="104"/>
        <v>1.045261952119407E-2</v>
      </c>
      <c r="G1140" s="4">
        <f t="shared" si="107"/>
        <v>7.1008095723041217E-2</v>
      </c>
      <c r="H1140" s="4">
        <f t="shared" si="105"/>
        <v>0.14720320851812857</v>
      </c>
      <c r="I1140" s="4">
        <f t="shared" si="106"/>
        <v>-0.92977292550368862</v>
      </c>
    </row>
    <row r="1141" spans="1:9" x14ac:dyDescent="0.25">
      <c r="A1141" s="3">
        <v>41835</v>
      </c>
      <c r="B1141" s="4" t="s">
        <v>0</v>
      </c>
      <c r="C1141" s="4">
        <v>583.18153410000002</v>
      </c>
      <c r="D1141" s="6">
        <f t="shared" si="102"/>
        <v>-1.5382499841667545E-4</v>
      </c>
      <c r="E1141" s="4">
        <f t="shared" si="103"/>
        <v>2.7613247939809057E-3</v>
      </c>
      <c r="F1141" s="6">
        <f t="shared" si="104"/>
        <v>-2.9151497923975813E-3</v>
      </c>
      <c r="G1141" s="4">
        <f t="shared" si="107"/>
        <v>2.8020612891483908E-2</v>
      </c>
      <c r="H1141" s="4">
        <f t="shared" si="105"/>
        <v>-0.10403590398565338</v>
      </c>
      <c r="I1141" s="4">
        <f t="shared" si="106"/>
        <v>-0.92435026786372876</v>
      </c>
    </row>
    <row r="1142" spans="1:9" x14ac:dyDescent="0.25">
      <c r="A1142" s="3">
        <v>41836</v>
      </c>
      <c r="B1142" s="4" t="s">
        <v>0</v>
      </c>
      <c r="C1142" s="4">
        <v>581.06732769999996</v>
      </c>
      <c r="D1142" s="6">
        <f t="shared" si="102"/>
        <v>-3.6252972297259457E-3</v>
      </c>
      <c r="E1142" s="4">
        <f t="shared" si="103"/>
        <v>8.088490706787882E-3</v>
      </c>
      <c r="F1142" s="6">
        <f t="shared" si="104"/>
        <v>-1.1713787936513828E-2</v>
      </c>
      <c r="G1142" s="4">
        <f t="shared" si="107"/>
        <v>1.2328530294543991E-2</v>
      </c>
      <c r="H1142" s="4">
        <f t="shared" si="105"/>
        <v>-0.95013660644511555</v>
      </c>
      <c r="I1142" s="4">
        <f t="shared" si="106"/>
        <v>-1.3703183186581929</v>
      </c>
    </row>
    <row r="1143" spans="1:9" x14ac:dyDescent="0.25">
      <c r="A1143" s="3">
        <v>41837</v>
      </c>
      <c r="B1143" s="4" t="s">
        <v>0</v>
      </c>
      <c r="C1143" s="4">
        <v>572.16170899999997</v>
      </c>
      <c r="D1143" s="6">
        <f t="shared" si="102"/>
        <v>-1.5326311212937246E-2</v>
      </c>
      <c r="E1143" s="4">
        <f t="shared" si="103"/>
        <v>2.9497936499919054E-3</v>
      </c>
      <c r="F1143" s="6">
        <f t="shared" si="104"/>
        <v>-1.8276104862929153E-2</v>
      </c>
      <c r="G1143" s="4">
        <f t="shared" si="107"/>
        <v>3.3373880785615213E-2</v>
      </c>
      <c r="H1143" s="4">
        <f t="shared" si="105"/>
        <v>-0.54761701164841781</v>
      </c>
      <c r="I1143" s="4">
        <f t="shared" si="106"/>
        <v>-1.0688807289280444</v>
      </c>
    </row>
    <row r="1144" spans="1:9" x14ac:dyDescent="0.25">
      <c r="A1144" s="3">
        <v>41838</v>
      </c>
      <c r="B1144" s="4" t="s">
        <v>0</v>
      </c>
      <c r="C1144" s="4">
        <v>593.45336980000002</v>
      </c>
      <c r="D1144" s="6">
        <f t="shared" si="102"/>
        <v>3.7212662897719441E-2</v>
      </c>
      <c r="E1144" s="4">
        <f t="shared" si="103"/>
        <v>-1.4332915615668832E-3</v>
      </c>
      <c r="F1144" s="6">
        <f t="shared" si="104"/>
        <v>3.8645954459286327E-2</v>
      </c>
      <c r="G1144" s="4">
        <f t="shared" si="107"/>
        <v>2.3270121428082085E-2</v>
      </c>
      <c r="H1144" s="4">
        <f t="shared" si="105"/>
        <v>1.6607543101450637</v>
      </c>
      <c r="I1144" s="4">
        <f t="shared" si="106"/>
        <v>-2.2979909725373759</v>
      </c>
    </row>
    <row r="1145" spans="1:9" x14ac:dyDescent="0.25">
      <c r="A1145" s="3">
        <v>41841</v>
      </c>
      <c r="B1145" s="4" t="s">
        <v>0</v>
      </c>
      <c r="C1145" s="4">
        <v>587.85867900000005</v>
      </c>
      <c r="D1145" s="6">
        <f t="shared" si="102"/>
        <v>-9.4273469234582592E-3</v>
      </c>
      <c r="E1145" s="4">
        <f t="shared" si="103"/>
        <v>-6.9684412910351592E-3</v>
      </c>
      <c r="F1145" s="6">
        <f t="shared" si="104"/>
        <v>-2.4589056324230999E-3</v>
      </c>
      <c r="G1145" s="4">
        <f t="shared" si="107"/>
        <v>5.7993301739726458E-2</v>
      </c>
      <c r="H1145" s="4">
        <f t="shared" si="105"/>
        <v>-4.2399821335550987E-2</v>
      </c>
      <c r="I1145" s="4">
        <f t="shared" si="106"/>
        <v>-0.91983740562931604</v>
      </c>
    </row>
    <row r="1146" spans="1:9" x14ac:dyDescent="0.25">
      <c r="A1146" s="3">
        <v>41842</v>
      </c>
      <c r="B1146" s="4" t="s">
        <v>0</v>
      </c>
      <c r="C1146" s="4">
        <v>593.11431760000005</v>
      </c>
      <c r="D1146" s="6">
        <f t="shared" si="102"/>
        <v>8.9403096147875321E-3</v>
      </c>
      <c r="E1146" s="4">
        <f t="shared" si="103"/>
        <v>9.5317223821660933E-3</v>
      </c>
      <c r="F1146" s="6">
        <f t="shared" si="104"/>
        <v>-5.9141276737856123E-4</v>
      </c>
      <c r="G1146" s="4">
        <f t="shared" si="107"/>
        <v>2.2737892124497609E-2</v>
      </c>
      <c r="H1146" s="4">
        <f t="shared" si="105"/>
        <v>-2.6010008497726059E-2</v>
      </c>
      <c r="I1146" s="4">
        <f t="shared" si="106"/>
        <v>-0.91927679347569857</v>
      </c>
    </row>
    <row r="1147" spans="1:9" x14ac:dyDescent="0.25">
      <c r="A1147" s="3">
        <v>41843</v>
      </c>
      <c r="B1147" s="4" t="s">
        <v>0</v>
      </c>
      <c r="C1147" s="4">
        <v>594.35089559999994</v>
      </c>
      <c r="D1147" s="6">
        <f t="shared" si="102"/>
        <v>2.084889815176997E-3</v>
      </c>
      <c r="E1147" s="4">
        <f t="shared" si="103"/>
        <v>7.7927603365161753E-3</v>
      </c>
      <c r="F1147" s="6">
        <f t="shared" si="104"/>
        <v>-5.7078705213391787E-3</v>
      </c>
      <c r="G1147" s="4">
        <f t="shared" si="107"/>
        <v>1.0046203364351844E-2</v>
      </c>
      <c r="H1147" s="4">
        <f t="shared" si="105"/>
        <v>-0.56816195276248382</v>
      </c>
      <c r="I1147" s="4">
        <f t="shared" si="106"/>
        <v>-1.0803425354881122</v>
      </c>
    </row>
    <row r="1148" spans="1:9" x14ac:dyDescent="0.25">
      <c r="A1148" s="3">
        <v>41844</v>
      </c>
      <c r="B1148" s="4" t="s">
        <v>0</v>
      </c>
      <c r="C1148" s="4">
        <v>591.7280816</v>
      </c>
      <c r="D1148" s="6">
        <f t="shared" si="102"/>
        <v>-4.4129049344700756E-3</v>
      </c>
      <c r="E1148" s="4">
        <f t="shared" si="103"/>
        <v>5.3059040954170095E-4</v>
      </c>
      <c r="F1148" s="6">
        <f t="shared" si="104"/>
        <v>-4.9434953440117765E-3</v>
      </c>
      <c r="G1148" s="4">
        <f t="shared" si="107"/>
        <v>2.0517983007212012E-2</v>
      </c>
      <c r="H1148" s="4">
        <f t="shared" si="105"/>
        <v>-0.24093476158324881</v>
      </c>
      <c r="I1148" s="4">
        <f t="shared" si="106"/>
        <v>-0.94796331287426105</v>
      </c>
    </row>
    <row r="1149" spans="1:9" x14ac:dyDescent="0.25">
      <c r="A1149" s="3">
        <v>41845</v>
      </c>
      <c r="B1149" s="4" t="s">
        <v>0</v>
      </c>
      <c r="C1149" s="4">
        <v>587.40994699999999</v>
      </c>
      <c r="D1149" s="6">
        <f t="shared" si="102"/>
        <v>-7.2974981824827558E-3</v>
      </c>
      <c r="E1149" s="4">
        <f t="shared" si="103"/>
        <v>3.5349113844009928E-3</v>
      </c>
      <c r="F1149" s="6">
        <f t="shared" si="104"/>
        <v>-1.0832409566883749E-2</v>
      </c>
      <c r="G1149" s="4">
        <f t="shared" si="107"/>
        <v>1.2439319242665147E-2</v>
      </c>
      <c r="H1149" s="4">
        <f t="shared" si="105"/>
        <v>-0.87082012733703951</v>
      </c>
      <c r="I1149" s="4">
        <f t="shared" si="106"/>
        <v>-1.2981023802923215</v>
      </c>
    </row>
    <row r="1150" spans="1:9" x14ac:dyDescent="0.25">
      <c r="A1150" s="3">
        <v>41848</v>
      </c>
      <c r="B1150" s="4" t="s">
        <v>0</v>
      </c>
      <c r="C1150" s="4">
        <v>588.98563690000003</v>
      </c>
      <c r="D1150" s="6">
        <f t="shared" si="102"/>
        <v>2.6824365301393901E-3</v>
      </c>
      <c r="E1150" s="4">
        <f t="shared" si="103"/>
        <v>-1.0486056770520585E-3</v>
      </c>
      <c r="F1150" s="6">
        <f t="shared" si="104"/>
        <v>3.7310422071914484E-3</v>
      </c>
      <c r="G1150" s="4">
        <f t="shared" si="107"/>
        <v>3.0716871729357748E-2</v>
      </c>
      <c r="H1150" s="4">
        <f t="shared" si="105"/>
        <v>0.12146556589698204</v>
      </c>
      <c r="I1150" s="4">
        <f t="shared" si="106"/>
        <v>-0.92631547505400968</v>
      </c>
    </row>
    <row r="1151" spans="1:9" x14ac:dyDescent="0.25">
      <c r="A1151" s="3">
        <v>41849</v>
      </c>
      <c r="B1151" s="4" t="s">
        <v>0</v>
      </c>
      <c r="C1151" s="4">
        <v>584.00923560000001</v>
      </c>
      <c r="D1151" s="6">
        <f t="shared" si="102"/>
        <v>-8.449104677988829E-3</v>
      </c>
      <c r="E1151" s="4">
        <f t="shared" si="103"/>
        <v>-4.1410901417970603E-3</v>
      </c>
      <c r="F1151" s="6">
        <f t="shared" si="104"/>
        <v>-4.3080145361917687E-3</v>
      </c>
      <c r="G1151" s="4">
        <f t="shared" si="107"/>
        <v>1.3405823347989874E-2</v>
      </c>
      <c r="H1151" s="4">
        <f t="shared" si="105"/>
        <v>-0.32135396867196009</v>
      </c>
      <c r="I1151" s="4">
        <f t="shared" si="106"/>
        <v>-0.97057271979528226</v>
      </c>
    </row>
    <row r="1152" spans="1:9" x14ac:dyDescent="0.25">
      <c r="A1152" s="3">
        <v>41850</v>
      </c>
      <c r="B1152" s="4" t="s">
        <v>0</v>
      </c>
      <c r="C1152" s="4">
        <v>585.81429679999997</v>
      </c>
      <c r="D1152" s="6">
        <f t="shared" si="102"/>
        <v>3.0908093399335868E-3</v>
      </c>
      <c r="E1152" s="4">
        <f t="shared" si="103"/>
        <v>-1.2096042076471544E-3</v>
      </c>
      <c r="F1152" s="6">
        <f t="shared" si="104"/>
        <v>4.3004135475807415E-3</v>
      </c>
      <c r="G1152" s="4">
        <f t="shared" si="107"/>
        <v>1.3153602940146608E-2</v>
      </c>
      <c r="H1152" s="4">
        <f t="shared" si="105"/>
        <v>0.32693806914722101</v>
      </c>
      <c r="I1152" s="4">
        <f t="shared" si="106"/>
        <v>-0.97238278373352915</v>
      </c>
    </row>
    <row r="1153" spans="1:9" x14ac:dyDescent="0.25">
      <c r="A1153" s="3">
        <v>41851</v>
      </c>
      <c r="B1153" s="4" t="s">
        <v>0</v>
      </c>
      <c r="C1153" s="4">
        <v>570.03755390000003</v>
      </c>
      <c r="D1153" s="6">
        <f t="shared" si="102"/>
        <v>-2.6931303974962892E-2</v>
      </c>
      <c r="E1153" s="4">
        <f t="shared" si="103"/>
        <v>-2.408353184625206E-3</v>
      </c>
      <c r="F1153" s="6">
        <f t="shared" si="104"/>
        <v>-2.4522950790337686E-2</v>
      </c>
      <c r="G1153" s="4">
        <f t="shared" si="107"/>
        <v>1.3278529992892361E-2</v>
      </c>
      <c r="H1153" s="4">
        <f t="shared" si="105"/>
        <v>-1.8468121699814783</v>
      </c>
      <c r="I1153" s="4">
        <f t="shared" si="106"/>
        <v>-2.6242961288005211</v>
      </c>
    </row>
    <row r="1154" spans="1:9" x14ac:dyDescent="0.25">
      <c r="A1154" s="3">
        <v>41852</v>
      </c>
      <c r="B1154" s="4" t="s">
        <v>0</v>
      </c>
      <c r="C1154" s="4">
        <v>564.5226361</v>
      </c>
      <c r="D1154" s="6">
        <f t="shared" si="102"/>
        <v>-9.6746569805250069E-3</v>
      </c>
      <c r="E1154" s="4">
        <f t="shared" si="103"/>
        <v>-1.4065434529001099E-3</v>
      </c>
      <c r="F1154" s="6">
        <f t="shared" si="104"/>
        <v>-8.2681135276248974E-3</v>
      </c>
      <c r="G1154" s="4">
        <f t="shared" si="107"/>
        <v>6.3884760126396392E-2</v>
      </c>
      <c r="H1154" s="4">
        <f t="shared" si="105"/>
        <v>-0.1294223146688879</v>
      </c>
      <c r="I1154" s="4">
        <f t="shared" si="106"/>
        <v>-0.92731360097179916</v>
      </c>
    </row>
    <row r="1155" spans="1:9" x14ac:dyDescent="0.25">
      <c r="A1155" s="3">
        <v>41855</v>
      </c>
      <c r="B1155" s="4" t="s">
        <v>0</v>
      </c>
      <c r="C1155" s="4">
        <v>571.58333689999995</v>
      </c>
      <c r="D1155" s="6">
        <f t="shared" si="102"/>
        <v>1.2507382961255094E-2</v>
      </c>
      <c r="E1155" s="4">
        <f t="shared" si="103"/>
        <v>-9.3489040990436343E-3</v>
      </c>
      <c r="F1155" s="6">
        <f t="shared" si="104"/>
        <v>2.1856287060298726E-2</v>
      </c>
      <c r="G1155" s="4">
        <f t="shared" si="107"/>
        <v>2.5284735646292387E-2</v>
      </c>
      <c r="H1155" s="4">
        <f t="shared" si="105"/>
        <v>0.86440638992813079</v>
      </c>
      <c r="I1155" s="4">
        <f t="shared" si="106"/>
        <v>-1.2925377366789645</v>
      </c>
    </row>
    <row r="1156" spans="1:9" x14ac:dyDescent="0.25">
      <c r="A1156" s="3">
        <v>41856</v>
      </c>
      <c r="B1156" s="4" t="s">
        <v>0</v>
      </c>
      <c r="C1156" s="4">
        <v>563.52537810000001</v>
      </c>
      <c r="D1156" s="6">
        <f t="shared" ref="D1156:D1219" si="108">(C1156-C1155)/C1155</f>
        <v>-1.4097609709377689E-2</v>
      </c>
      <c r="E1156" s="4">
        <f t="shared" si="103"/>
        <v>-1.1945941565617733E-2</v>
      </c>
      <c r="F1156" s="6">
        <f t="shared" si="104"/>
        <v>-2.151668143759956E-3</v>
      </c>
      <c r="G1156" s="4">
        <f t="shared" si="107"/>
        <v>3.1638403690368216E-2</v>
      </c>
      <c r="H1156" s="4">
        <f t="shared" si="105"/>
        <v>-6.8008113330161324E-2</v>
      </c>
      <c r="I1156" s="4">
        <f t="shared" si="106"/>
        <v>-0.92125108494403662</v>
      </c>
    </row>
    <row r="1157" spans="1:9" x14ac:dyDescent="0.25">
      <c r="A1157" s="3">
        <v>41857</v>
      </c>
      <c r="B1157" s="4" t="s">
        <v>0</v>
      </c>
      <c r="C1157" s="4">
        <v>564.82585959999994</v>
      </c>
      <c r="D1157" s="6">
        <f t="shared" si="108"/>
        <v>2.3077603077694161E-3</v>
      </c>
      <c r="E1157" s="4">
        <f t="shared" si="103"/>
        <v>1.8181455118715705E-3</v>
      </c>
      <c r="F1157" s="6">
        <f t="shared" si="104"/>
        <v>4.8961479589784565E-4</v>
      </c>
      <c r="G1157" s="4">
        <f t="shared" si="107"/>
        <v>1.3271003707350246E-2</v>
      </c>
      <c r="H1157" s="4">
        <f t="shared" si="105"/>
        <v>3.689357690606844E-2</v>
      </c>
      <c r="I1157" s="4">
        <f t="shared" si="106"/>
        <v>-0.91961910121313462</v>
      </c>
    </row>
    <row r="1158" spans="1:9" x14ac:dyDescent="0.25">
      <c r="A1158" s="3">
        <v>41858</v>
      </c>
      <c r="B1158" s="4" t="s">
        <v>0</v>
      </c>
      <c r="C1158" s="4">
        <v>561.82004810000001</v>
      </c>
      <c r="D1158" s="6">
        <f t="shared" si="108"/>
        <v>-5.3216605594662413E-3</v>
      </c>
      <c r="E1158" s="4">
        <f t="shared" si="103"/>
        <v>-1.5587633490406058E-3</v>
      </c>
      <c r="F1158" s="6">
        <f t="shared" si="104"/>
        <v>-3.7628972104256355E-3</v>
      </c>
      <c r="G1158" s="4">
        <f t="shared" si="107"/>
        <v>7.2152064658674376E-3</v>
      </c>
      <c r="H1158" s="4">
        <f t="shared" si="105"/>
        <v>-0.52152315089340229</v>
      </c>
      <c r="I1158" s="4">
        <f t="shared" si="106"/>
        <v>-1.0549317316635638</v>
      </c>
    </row>
    <row r="1159" spans="1:9" x14ac:dyDescent="0.25">
      <c r="A1159" s="3">
        <v>41859</v>
      </c>
      <c r="B1159" s="4" t="s">
        <v>0</v>
      </c>
      <c r="C1159" s="4">
        <v>567.21527549999996</v>
      </c>
      <c r="D1159" s="6">
        <f t="shared" si="108"/>
        <v>9.6031236661024977E-3</v>
      </c>
      <c r="E1159" s="4">
        <f t="shared" ref="E1159:E1222" si="109">+$M$16*D1158+$M$17*D1157+$M$18*D1156</f>
        <v>-3.4353217891161911E-3</v>
      </c>
      <c r="F1159" s="6">
        <f t="shared" ref="F1159:F1222" si="110">D1159-E1159</f>
        <v>1.3038445455218688E-2</v>
      </c>
      <c r="G1159" s="4">
        <f t="shared" si="107"/>
        <v>1.8809720253744635E-2</v>
      </c>
      <c r="H1159" s="4">
        <f t="shared" ref="H1159:H1222" si="111">F1159/G1159</f>
        <v>0.69317593666088673</v>
      </c>
      <c r="I1159" s="4">
        <f t="shared" ref="I1159:I1222" si="112">LN(_xlfn.NORM.DIST(H1159,0,1,FALSE))</f>
        <v>-1.1591849727875216</v>
      </c>
    </row>
    <row r="1160" spans="1:9" x14ac:dyDescent="0.25">
      <c r="A1160" s="3">
        <v>41862</v>
      </c>
      <c r="B1160" s="4" t="s">
        <v>0</v>
      </c>
      <c r="C1160" s="4">
        <v>566.32769829999995</v>
      </c>
      <c r="D1160" s="6">
        <f t="shared" si="108"/>
        <v>-1.5647977731516678E-3</v>
      </c>
      <c r="E1160" s="4">
        <f t="shared" si="109"/>
        <v>-1.3274114698431021E-3</v>
      </c>
      <c r="F1160" s="6">
        <f t="shared" si="110"/>
        <v>-2.3738630330856578E-4</v>
      </c>
      <c r="G1160" s="4">
        <f t="shared" ref="G1160:G1223" si="113">SQRT($M$12 + $M$13 *H1159^2+$M$14*G1159^2)</f>
        <v>2.5380900598303186E-2</v>
      </c>
      <c r="H1160" s="4">
        <f t="shared" si="111"/>
        <v>-9.3529503568693696E-3</v>
      </c>
      <c r="I1160" s="4">
        <f t="shared" si="112"/>
        <v>-0.91898227204486171</v>
      </c>
    </row>
    <row r="1161" spans="1:9" x14ac:dyDescent="0.25">
      <c r="A1161" s="3">
        <v>41863</v>
      </c>
      <c r="B1161" s="4" t="s">
        <v>0</v>
      </c>
      <c r="C1161" s="4">
        <v>561.19180989999995</v>
      </c>
      <c r="D1161" s="6">
        <f t="shared" si="108"/>
        <v>-9.0687572149779835E-3</v>
      </c>
      <c r="E1161" s="4">
        <f t="shared" si="109"/>
        <v>2.041272983230061E-3</v>
      </c>
      <c r="F1161" s="6">
        <f t="shared" si="110"/>
        <v>-1.1110030198208044E-2</v>
      </c>
      <c r="G1161" s="4">
        <f t="shared" si="113"/>
        <v>1.0897842734229935E-2</v>
      </c>
      <c r="H1161" s="4">
        <f t="shared" si="111"/>
        <v>-1.0194705933231749</v>
      </c>
      <c r="I1161" s="4">
        <f t="shared" si="112"/>
        <v>-1.4385986785300258</v>
      </c>
    </row>
    <row r="1162" spans="1:9" x14ac:dyDescent="0.25">
      <c r="A1162" s="3">
        <v>41864</v>
      </c>
      <c r="B1162" s="4" t="s">
        <v>0</v>
      </c>
      <c r="C1162" s="4">
        <v>573.20883219999996</v>
      </c>
      <c r="D1162" s="6">
        <f t="shared" si="108"/>
        <v>2.1413395719622759E-2</v>
      </c>
      <c r="E1162" s="4">
        <f t="shared" si="109"/>
        <v>2.3426068217963095E-3</v>
      </c>
      <c r="F1162" s="6">
        <f t="shared" si="110"/>
        <v>1.907078889782645E-2</v>
      </c>
      <c r="G1162" s="4">
        <f t="shared" si="113"/>
        <v>3.5642124092231754E-2</v>
      </c>
      <c r="H1162" s="4">
        <f t="shared" si="111"/>
        <v>0.53506319793053392</v>
      </c>
      <c r="I1162" s="4">
        <f t="shared" si="112"/>
        <v>-1.0620848460944976</v>
      </c>
    </row>
    <row r="1163" spans="1:9" x14ac:dyDescent="0.25">
      <c r="A1163" s="3">
        <v>41865</v>
      </c>
      <c r="B1163" s="4" t="s">
        <v>0</v>
      </c>
      <c r="C1163" s="4">
        <v>573.0791931</v>
      </c>
      <c r="D1163" s="6">
        <f t="shared" si="108"/>
        <v>-2.2616382148614604E-4</v>
      </c>
      <c r="E1163" s="4">
        <f t="shared" si="109"/>
        <v>-3.9455919179076995E-3</v>
      </c>
      <c r="F1163" s="6">
        <f t="shared" si="110"/>
        <v>3.7194280964215534E-3</v>
      </c>
      <c r="G1163" s="4">
        <f t="shared" si="113"/>
        <v>2.341469913666256E-2</v>
      </c>
      <c r="H1163" s="4">
        <f t="shared" si="111"/>
        <v>0.15885013404241016</v>
      </c>
      <c r="I1163" s="4">
        <f t="shared" si="112"/>
        <v>-0.93155521574731859</v>
      </c>
    </row>
    <row r="1164" spans="1:9" x14ac:dyDescent="0.25">
      <c r="A1164" s="3">
        <v>41866</v>
      </c>
      <c r="B1164" s="4" t="s">
        <v>0</v>
      </c>
      <c r="C1164" s="4">
        <v>571.91244040000004</v>
      </c>
      <c r="D1164" s="6">
        <f t="shared" si="108"/>
        <v>-2.035936244149013E-3</v>
      </c>
      <c r="E1164" s="4">
        <f t="shared" si="109"/>
        <v>5.4085646720365603E-3</v>
      </c>
      <c r="F1164" s="6">
        <f t="shared" si="110"/>
        <v>-7.4445009161855733E-3</v>
      </c>
      <c r="G1164" s="4">
        <f t="shared" si="113"/>
        <v>1.1597385998668608E-2</v>
      </c>
      <c r="H1164" s="4">
        <f t="shared" si="111"/>
        <v>-0.64191197197715155</v>
      </c>
      <c r="I1164" s="4">
        <f t="shared" si="112"/>
        <v>-1.1249640230884703</v>
      </c>
    </row>
    <row r="1165" spans="1:9" x14ac:dyDescent="0.25">
      <c r="A1165" s="3">
        <v>41869</v>
      </c>
      <c r="B1165" s="4" t="s">
        <v>0</v>
      </c>
      <c r="C1165" s="4">
        <v>580.56866769999999</v>
      </c>
      <c r="D1165" s="6">
        <f t="shared" si="108"/>
        <v>1.5135581408136046E-2</v>
      </c>
      <c r="E1165" s="4">
        <f t="shared" si="109"/>
        <v>6.4714013605401471E-3</v>
      </c>
      <c r="F1165" s="6">
        <f t="shared" si="110"/>
        <v>8.6641800475958999E-3</v>
      </c>
      <c r="G1165" s="4">
        <f t="shared" si="113"/>
        <v>2.3050973310807663E-2</v>
      </c>
      <c r="H1165" s="4">
        <f t="shared" si="111"/>
        <v>0.3758704645904743</v>
      </c>
      <c r="I1165" s="4">
        <f t="shared" si="112"/>
        <v>-0.98957783628040219</v>
      </c>
    </row>
    <row r="1166" spans="1:9" x14ac:dyDescent="0.25">
      <c r="A1166" s="3">
        <v>41870</v>
      </c>
      <c r="B1166" s="4" t="s">
        <v>0</v>
      </c>
      <c r="C1166" s="4">
        <v>585.25582310000004</v>
      </c>
      <c r="D1166" s="6">
        <f t="shared" si="108"/>
        <v>8.0733867684745046E-3</v>
      </c>
      <c r="E1166" s="4">
        <f t="shared" si="109"/>
        <v>-8.4725657060291822E-4</v>
      </c>
      <c r="F1166" s="6">
        <f t="shared" si="110"/>
        <v>8.9206433390774231E-3</v>
      </c>
      <c r="G1166" s="4">
        <f t="shared" si="113"/>
        <v>1.6406668557009767E-2</v>
      </c>
      <c r="H1166" s="4">
        <f t="shared" si="111"/>
        <v>0.54372057971915744</v>
      </c>
      <c r="I1166" s="4">
        <f t="shared" si="112"/>
        <v>-1.066754567609741</v>
      </c>
    </row>
    <row r="1167" spans="1:9" x14ac:dyDescent="0.25">
      <c r="A1167" s="3">
        <v>41871</v>
      </c>
      <c r="B1167" s="4" t="s">
        <v>0</v>
      </c>
      <c r="C1167" s="4">
        <v>582.89228720000006</v>
      </c>
      <c r="D1167" s="6">
        <f t="shared" si="108"/>
        <v>-4.0384662684443571E-3</v>
      </c>
      <c r="E1167" s="4">
        <f t="shared" si="109"/>
        <v>5.162669703164373E-3</v>
      </c>
      <c r="F1167" s="6">
        <f t="shared" si="110"/>
        <v>-9.2011359716087301E-3</v>
      </c>
      <c r="G1167" s="4">
        <f t="shared" si="113"/>
        <v>2.0331982140259112E-2</v>
      </c>
      <c r="H1167" s="4">
        <f t="shared" si="111"/>
        <v>-0.45254495642063702</v>
      </c>
      <c r="I1167" s="4">
        <f t="shared" si="112"/>
        <v>-1.0213370019955508</v>
      </c>
    </row>
    <row r="1168" spans="1:9" x14ac:dyDescent="0.25">
      <c r="A1168" s="3">
        <v>41872</v>
      </c>
      <c r="B1168" s="4" t="s">
        <v>0</v>
      </c>
      <c r="C1168" s="4">
        <v>581.77539960000001</v>
      </c>
      <c r="D1168" s="6">
        <f t="shared" si="108"/>
        <v>-1.916113190251938E-3</v>
      </c>
      <c r="E1168" s="4">
        <f t="shared" si="109"/>
        <v>7.7215124922470763E-3</v>
      </c>
      <c r="F1168" s="6">
        <f t="shared" si="110"/>
        <v>-9.6376256824990143E-3</v>
      </c>
      <c r="G1168" s="4">
        <f t="shared" si="113"/>
        <v>1.8084675043047602E-2</v>
      </c>
      <c r="H1168" s="4">
        <f t="shared" si="111"/>
        <v>-0.53291671868906842</v>
      </c>
      <c r="I1168" s="4">
        <f t="shared" si="112"/>
        <v>-1.0609386477338345</v>
      </c>
    </row>
    <row r="1169" spans="1:9" x14ac:dyDescent="0.25">
      <c r="A1169" s="3">
        <v>41873</v>
      </c>
      <c r="B1169" s="4" t="s">
        <v>0</v>
      </c>
      <c r="C1169" s="4">
        <v>580.96759550000002</v>
      </c>
      <c r="D1169" s="6">
        <f t="shared" si="108"/>
        <v>-1.3885153971023949E-3</v>
      </c>
      <c r="E1169" s="4">
        <f t="shared" si="109"/>
        <v>9.2863251078038238E-4</v>
      </c>
      <c r="F1169" s="6">
        <f t="shared" si="110"/>
        <v>-2.3171479078827771E-3</v>
      </c>
      <c r="G1169" s="4">
        <f t="shared" si="113"/>
        <v>2.0200915772063684E-2</v>
      </c>
      <c r="H1169" s="4">
        <f t="shared" si="111"/>
        <v>-0.11470509228533168</v>
      </c>
      <c r="I1169" s="4">
        <f t="shared" si="112"/>
        <v>-0.92551716230276593</v>
      </c>
    </row>
    <row r="1170" spans="1:9" x14ac:dyDescent="0.25">
      <c r="A1170" s="3">
        <v>41876</v>
      </c>
      <c r="B1170" s="4" t="s">
        <v>0</v>
      </c>
      <c r="C1170" s="4">
        <v>578.61406910000005</v>
      </c>
      <c r="D1170" s="6">
        <f t="shared" si="108"/>
        <v>-4.051045907258289E-3</v>
      </c>
      <c r="E1170" s="4">
        <f t="shared" si="109"/>
        <v>-1.9693072492622224E-3</v>
      </c>
      <c r="F1170" s="6">
        <f t="shared" si="110"/>
        <v>-2.0817386579960666E-3</v>
      </c>
      <c r="G1170" s="4">
        <f t="shared" si="113"/>
        <v>9.9900731664037071E-3</v>
      </c>
      <c r="H1170" s="4">
        <f t="shared" si="111"/>
        <v>-0.20838072187467918</v>
      </c>
      <c r="I1170" s="4">
        <f t="shared" si="112"/>
        <v>-0.94064979582917874</v>
      </c>
    </row>
    <row r="1171" spans="1:9" x14ac:dyDescent="0.25">
      <c r="A1171" s="3">
        <v>41877</v>
      </c>
      <c r="B1171" s="4" t="s">
        <v>0</v>
      </c>
      <c r="C1171" s="4">
        <v>576.280441</v>
      </c>
      <c r="D1171" s="6">
        <f t="shared" si="108"/>
        <v>-4.0331340432663105E-3</v>
      </c>
      <c r="E1171" s="4">
        <f t="shared" si="109"/>
        <v>-1.1176955037730486E-3</v>
      </c>
      <c r="F1171" s="6">
        <f t="shared" si="110"/>
        <v>-2.9154385394932619E-3</v>
      </c>
      <c r="G1171" s="4">
        <f t="shared" si="113"/>
        <v>9.5208198547633086E-3</v>
      </c>
      <c r="H1171" s="4">
        <f t="shared" si="111"/>
        <v>-0.30621717288712852</v>
      </c>
      <c r="I1171" s="4">
        <f t="shared" si="112"/>
        <v>-0.96582301169016538</v>
      </c>
    </row>
    <row r="1172" spans="1:9" x14ac:dyDescent="0.25">
      <c r="A1172" s="3">
        <v>41878</v>
      </c>
      <c r="B1172" s="4" t="s">
        <v>0</v>
      </c>
      <c r="C1172" s="4">
        <v>569.43916179999997</v>
      </c>
      <c r="D1172" s="6">
        <f t="shared" si="108"/>
        <v>-1.1871440904932657E-2</v>
      </c>
      <c r="E1172" s="4">
        <f t="shared" si="109"/>
        <v>-1.9739472335063677E-3</v>
      </c>
      <c r="F1172" s="6">
        <f t="shared" si="110"/>
        <v>-9.8974936714262898E-3</v>
      </c>
      <c r="G1172" s="4">
        <f t="shared" si="113"/>
        <v>1.2198821147174573E-2</v>
      </c>
      <c r="H1172" s="4">
        <f t="shared" si="111"/>
        <v>-0.81134837145462169</v>
      </c>
      <c r="I1172" s="4">
        <f t="shared" si="112"/>
        <v>-1.2480816231357061</v>
      </c>
    </row>
    <row r="1173" spans="1:9" x14ac:dyDescent="0.25">
      <c r="A1173" s="3">
        <v>41879</v>
      </c>
      <c r="B1173" s="4" t="s">
        <v>0</v>
      </c>
      <c r="C1173" s="4">
        <v>567.64411010000003</v>
      </c>
      <c r="D1173" s="6">
        <f t="shared" si="108"/>
        <v>-3.1523151557152546E-3</v>
      </c>
      <c r="E1173" s="4">
        <f t="shared" si="109"/>
        <v>-2.7826625259727679E-3</v>
      </c>
      <c r="F1173" s="6">
        <f t="shared" si="110"/>
        <v>-3.6965262974248672E-4</v>
      </c>
      <c r="G1173" s="4">
        <f t="shared" si="113"/>
        <v>2.871295322675663E-2</v>
      </c>
      <c r="H1173" s="4">
        <f t="shared" si="111"/>
        <v>-1.2874072089457518E-2</v>
      </c>
      <c r="I1173" s="4">
        <f t="shared" si="112"/>
        <v>-0.91902140407075494</v>
      </c>
    </row>
    <row r="1174" spans="1:9" x14ac:dyDescent="0.25">
      <c r="A1174" s="3">
        <v>41880</v>
      </c>
      <c r="B1174" s="4" t="s">
        <v>0</v>
      </c>
      <c r="C1174" s="4">
        <v>570.03755390000003</v>
      </c>
      <c r="D1174" s="6">
        <f t="shared" si="108"/>
        <v>4.2164513951855409E-3</v>
      </c>
      <c r="E1174" s="4">
        <f t="shared" si="109"/>
        <v>-5.7734244056446248E-3</v>
      </c>
      <c r="F1174" s="6">
        <f t="shared" si="110"/>
        <v>9.9898758008301648E-3</v>
      </c>
      <c r="G1174" s="4">
        <f t="shared" si="113"/>
        <v>1.2046627339261659E-2</v>
      </c>
      <c r="H1174" s="4">
        <f t="shared" si="111"/>
        <v>0.82926743888488597</v>
      </c>
      <c r="I1174" s="4">
        <f t="shared" si="112"/>
        <v>-1.2627807758020217</v>
      </c>
    </row>
    <row r="1175" spans="1:9" x14ac:dyDescent="0.25">
      <c r="A1175" s="3">
        <v>41884</v>
      </c>
      <c r="B1175" s="4" t="s">
        <v>0</v>
      </c>
      <c r="C1175" s="4">
        <v>575.75187419999997</v>
      </c>
      <c r="D1175" s="6">
        <f t="shared" si="108"/>
        <v>1.0024462881269023E-2</v>
      </c>
      <c r="E1175" s="4">
        <f t="shared" si="109"/>
        <v>-4.8406352787453014E-3</v>
      </c>
      <c r="F1175" s="6">
        <f t="shared" si="110"/>
        <v>1.4865098160014325E-2</v>
      </c>
      <c r="G1175" s="4">
        <f t="shared" si="113"/>
        <v>2.9302540427965696E-2</v>
      </c>
      <c r="H1175" s="4">
        <f t="shared" si="111"/>
        <v>0.50729724941621113</v>
      </c>
      <c r="I1175" s="4">
        <f t="shared" si="112"/>
        <v>-1.0476137828372993</v>
      </c>
    </row>
    <row r="1176" spans="1:9" x14ac:dyDescent="0.25">
      <c r="A1176" s="3">
        <v>41885</v>
      </c>
      <c r="B1176" s="4" t="s">
        <v>0</v>
      </c>
      <c r="C1176" s="4">
        <v>576.36021400000004</v>
      </c>
      <c r="D1176" s="6">
        <f t="shared" si="108"/>
        <v>1.056600642152225E-3</v>
      </c>
      <c r="E1176" s="4">
        <f t="shared" si="109"/>
        <v>6.4665873969478181E-4</v>
      </c>
      <c r="F1176" s="6">
        <f t="shared" si="110"/>
        <v>4.0994190245744323E-4</v>
      </c>
      <c r="G1176" s="4">
        <f t="shared" si="113"/>
        <v>2.1308370572821735E-2</v>
      </c>
      <c r="H1176" s="4">
        <f t="shared" si="111"/>
        <v>1.9238538256900476E-2</v>
      </c>
      <c r="I1176" s="4">
        <f t="shared" si="112"/>
        <v>-0.91912359388180376</v>
      </c>
    </row>
    <row r="1177" spans="1:9" x14ac:dyDescent="0.25">
      <c r="A1177" s="3">
        <v>41886</v>
      </c>
      <c r="B1177" s="4" t="s">
        <v>0</v>
      </c>
      <c r="C1177" s="4">
        <v>580.38916259999996</v>
      </c>
      <c r="D1177" s="6">
        <f t="shared" si="108"/>
        <v>6.9903308766554127E-3</v>
      </c>
      <c r="E1177" s="4">
        <f t="shared" si="109"/>
        <v>5.123462522505764E-3</v>
      </c>
      <c r="F1177" s="6">
        <f t="shared" si="110"/>
        <v>1.8668683541496487E-3</v>
      </c>
      <c r="G1177" s="4">
        <f t="shared" si="113"/>
        <v>9.5597381838288444E-3</v>
      </c>
      <c r="H1177" s="4">
        <f t="shared" si="111"/>
        <v>0.19528446472599262</v>
      </c>
      <c r="I1177" s="4">
        <f t="shared" si="112"/>
        <v>-0.93800654428633146</v>
      </c>
    </row>
    <row r="1178" spans="1:9" x14ac:dyDescent="0.25">
      <c r="A1178" s="3">
        <v>41887</v>
      </c>
      <c r="B1178" s="4" t="s">
        <v>0</v>
      </c>
      <c r="C1178" s="4">
        <v>584.47798769999997</v>
      </c>
      <c r="D1178" s="6">
        <f t="shared" si="108"/>
        <v>7.0449714837594185E-3</v>
      </c>
      <c r="E1178" s="4">
        <f t="shared" si="109"/>
        <v>3.4740702067157514E-3</v>
      </c>
      <c r="F1178" s="6">
        <f t="shared" si="110"/>
        <v>3.5709012770436671E-3</v>
      </c>
      <c r="G1178" s="4">
        <f t="shared" si="113"/>
        <v>9.1198932590439083E-3</v>
      </c>
      <c r="H1178" s="4">
        <f t="shared" si="111"/>
        <v>0.39155077538901212</v>
      </c>
      <c r="I1178" s="4">
        <f t="shared" si="112"/>
        <v>-0.99559453805854103</v>
      </c>
    </row>
    <row r="1179" spans="1:9" x14ac:dyDescent="0.25">
      <c r="A1179" s="3">
        <v>41890</v>
      </c>
      <c r="B1179" s="4" t="s">
        <v>0</v>
      </c>
      <c r="C1179" s="4">
        <v>588.10800849999998</v>
      </c>
      <c r="D1179" s="6">
        <f t="shared" si="108"/>
        <v>6.2107057517848266E-3</v>
      </c>
      <c r="E1179" s="4">
        <f t="shared" si="109"/>
        <v>2.9959854000125635E-3</v>
      </c>
      <c r="F1179" s="6">
        <f t="shared" si="110"/>
        <v>3.2147203517722631E-3</v>
      </c>
      <c r="G1179" s="4">
        <f t="shared" si="113"/>
        <v>1.4767875138669607E-2</v>
      </c>
      <c r="H1179" s="4">
        <f t="shared" si="111"/>
        <v>0.2176833377575447</v>
      </c>
      <c r="I1179" s="4">
        <f t="shared" si="112"/>
        <v>-0.9426315509733052</v>
      </c>
    </row>
    <row r="1180" spans="1:9" x14ac:dyDescent="0.25">
      <c r="A1180" s="3">
        <v>41891</v>
      </c>
      <c r="B1180" s="4" t="s">
        <v>0</v>
      </c>
      <c r="C1180" s="4">
        <v>579.42181240000002</v>
      </c>
      <c r="D1180" s="6">
        <f t="shared" si="108"/>
        <v>-1.4769729326003492E-2</v>
      </c>
      <c r="E1180" s="4">
        <f t="shared" si="109"/>
        <v>4.8340746935482595E-3</v>
      </c>
      <c r="F1180" s="6">
        <f t="shared" si="110"/>
        <v>-1.9603804019551752E-2</v>
      </c>
      <c r="G1180" s="4">
        <f t="shared" si="113"/>
        <v>1.0609784951425554E-2</v>
      </c>
      <c r="H1180" s="4">
        <f t="shared" si="111"/>
        <v>-1.8477098366558073</v>
      </c>
      <c r="I1180" s="4">
        <f t="shared" si="112"/>
        <v>-2.6259543534419878</v>
      </c>
    </row>
    <row r="1181" spans="1:9" x14ac:dyDescent="0.25">
      <c r="A1181" s="3">
        <v>41892</v>
      </c>
      <c r="B1181" s="4" t="s">
        <v>0</v>
      </c>
      <c r="C1181" s="4">
        <v>581.50611100000003</v>
      </c>
      <c r="D1181" s="6">
        <f t="shared" si="108"/>
        <v>3.5972042394585057E-3</v>
      </c>
      <c r="E1181" s="4">
        <f t="shared" si="109"/>
        <v>4.5314664377413489E-3</v>
      </c>
      <c r="F1181" s="6">
        <f t="shared" si="110"/>
        <v>-9.3426219828284321E-4</v>
      </c>
      <c r="G1181" s="4">
        <f t="shared" si="113"/>
        <v>6.3842711437825037E-2</v>
      </c>
      <c r="H1181" s="4">
        <f t="shared" si="111"/>
        <v>-1.4633811397448241E-2</v>
      </c>
      <c r="I1181" s="4">
        <f t="shared" si="112"/>
        <v>-0.91904560742268071</v>
      </c>
    </row>
    <row r="1182" spans="1:9" x14ac:dyDescent="0.25">
      <c r="A1182" s="3">
        <v>41893</v>
      </c>
      <c r="B1182" s="4" t="s">
        <v>0</v>
      </c>
      <c r="C1182" s="4">
        <v>579.76092540000002</v>
      </c>
      <c r="D1182" s="6">
        <f t="shared" si="108"/>
        <v>-3.0011474806324319E-3</v>
      </c>
      <c r="E1182" s="4">
        <f t="shared" si="109"/>
        <v>-3.7440462453228324E-3</v>
      </c>
      <c r="F1182" s="6">
        <f t="shared" si="110"/>
        <v>7.4289876469040049E-4</v>
      </c>
      <c r="G1182" s="4">
        <f t="shared" si="113"/>
        <v>2.4879569530341553E-2</v>
      </c>
      <c r="H1182" s="4">
        <f t="shared" si="111"/>
        <v>2.9859791737329219E-2</v>
      </c>
      <c r="I1182" s="4">
        <f t="shared" si="112"/>
        <v>-0.91938433678597098</v>
      </c>
    </row>
    <row r="1183" spans="1:9" x14ac:dyDescent="0.25">
      <c r="A1183" s="3">
        <v>41894</v>
      </c>
      <c r="B1183" s="4" t="s">
        <v>0</v>
      </c>
      <c r="C1183" s="4">
        <v>574.04654419999997</v>
      </c>
      <c r="D1183" s="6">
        <f t="shared" si="108"/>
        <v>-9.8564441818107529E-3</v>
      </c>
      <c r="E1183" s="4">
        <f t="shared" si="109"/>
        <v>-3.1481858810827592E-3</v>
      </c>
      <c r="F1183" s="6">
        <f t="shared" si="110"/>
        <v>-6.7082583007279937E-3</v>
      </c>
      <c r="G1183" s="4">
        <f t="shared" si="113"/>
        <v>1.0772254933777037E-2</v>
      </c>
      <c r="H1183" s="4">
        <f t="shared" si="111"/>
        <v>-0.62273482589925133</v>
      </c>
      <c r="I1183" s="4">
        <f t="shared" si="112"/>
        <v>-1.1128378648985582</v>
      </c>
    </row>
    <row r="1184" spans="1:9" x14ac:dyDescent="0.25">
      <c r="A1184" s="3">
        <v>41897</v>
      </c>
      <c r="B1184" s="4" t="s">
        <v>0</v>
      </c>
      <c r="C1184" s="4">
        <v>571.5334709</v>
      </c>
      <c r="D1184" s="6">
        <f t="shared" si="108"/>
        <v>-4.3778214944264334E-3</v>
      </c>
      <c r="E1184" s="4">
        <f t="shared" si="109"/>
        <v>-4.5821684116848383E-5</v>
      </c>
      <c r="F1184" s="6">
        <f t="shared" si="110"/>
        <v>-4.3319998103095846E-3</v>
      </c>
      <c r="G1184" s="4">
        <f t="shared" si="113"/>
        <v>2.2360595567030753E-2</v>
      </c>
      <c r="H1184" s="4">
        <f t="shared" si="111"/>
        <v>-0.19373365066791143</v>
      </c>
      <c r="I1184" s="4">
        <f t="shared" si="112"/>
        <v>-0.93770489690523096</v>
      </c>
    </row>
    <row r="1185" spans="1:9" x14ac:dyDescent="0.25">
      <c r="A1185" s="3">
        <v>41898</v>
      </c>
      <c r="B1185" s="4" t="s">
        <v>0</v>
      </c>
      <c r="C1185" s="4">
        <v>578.36473960000001</v>
      </c>
      <c r="D1185" s="6">
        <f t="shared" si="108"/>
        <v>1.1952526051086276E-2</v>
      </c>
      <c r="E1185" s="4">
        <f t="shared" si="109"/>
        <v>-4.6871093782475115E-3</v>
      </c>
      <c r="F1185" s="6">
        <f t="shared" si="110"/>
        <v>1.6639635429333787E-2</v>
      </c>
      <c r="G1185" s="4">
        <f t="shared" si="113"/>
        <v>1.191651379019535E-2</v>
      </c>
      <c r="H1185" s="4">
        <f t="shared" si="111"/>
        <v>1.3963509565209011</v>
      </c>
      <c r="I1185" s="4">
        <f t="shared" si="112"/>
        <v>-1.8938365300930904</v>
      </c>
    </row>
    <row r="1186" spans="1:9" x14ac:dyDescent="0.25">
      <c r="A1186" s="3">
        <v>41899</v>
      </c>
      <c r="B1186" s="4" t="s">
        <v>0</v>
      </c>
      <c r="C1186" s="4">
        <v>583.1715246</v>
      </c>
      <c r="D1186" s="6">
        <f t="shared" si="108"/>
        <v>8.310992477384406E-3</v>
      </c>
      <c r="E1186" s="4">
        <f t="shared" si="109"/>
        <v>-4.6918689561505885E-3</v>
      </c>
      <c r="F1186" s="6">
        <f t="shared" si="110"/>
        <v>1.3002861433534994E-2</v>
      </c>
      <c r="G1186" s="4">
        <f t="shared" si="113"/>
        <v>4.84741968848253E-2</v>
      </c>
      <c r="H1186" s="4">
        <f t="shared" si="111"/>
        <v>0.26824294715866659</v>
      </c>
      <c r="I1186" s="4">
        <f t="shared" si="112"/>
        <v>-0.95491567255485632</v>
      </c>
    </row>
    <row r="1187" spans="1:9" x14ac:dyDescent="0.25">
      <c r="A1187" s="3">
        <v>41900</v>
      </c>
      <c r="B1187" s="4" t="s">
        <v>0</v>
      </c>
      <c r="C1187" s="4">
        <v>587.65927650000003</v>
      </c>
      <c r="D1187" s="6">
        <f t="shared" si="108"/>
        <v>7.6954235772712055E-3</v>
      </c>
      <c r="E1187" s="4">
        <f t="shared" si="109"/>
        <v>3.2286510066289464E-3</v>
      </c>
      <c r="F1187" s="6">
        <f t="shared" si="110"/>
        <v>4.4667725706422591E-3</v>
      </c>
      <c r="G1187" s="4">
        <f t="shared" si="113"/>
        <v>2.1265825715813921E-2</v>
      </c>
      <c r="H1187" s="4">
        <f t="shared" si="111"/>
        <v>0.21004463359824443</v>
      </c>
      <c r="I1187" s="4">
        <f t="shared" si="112"/>
        <v>-0.94099790725638299</v>
      </c>
    </row>
    <row r="1188" spans="1:9" x14ac:dyDescent="0.25">
      <c r="A1188" s="3">
        <v>41901</v>
      </c>
      <c r="B1188" s="4" t="s">
        <v>0</v>
      </c>
      <c r="C1188" s="4">
        <v>594.45062780000001</v>
      </c>
      <c r="D1188" s="6">
        <f t="shared" si="108"/>
        <v>1.1556613792346003E-2</v>
      </c>
      <c r="E1188" s="4">
        <f t="shared" si="109"/>
        <v>6.8377611516876255E-3</v>
      </c>
      <c r="F1188" s="6">
        <f t="shared" si="110"/>
        <v>4.7188526406583779E-3</v>
      </c>
      <c r="G1188" s="4">
        <f t="shared" si="113"/>
        <v>1.1951015238809346E-2</v>
      </c>
      <c r="H1188" s="4">
        <f t="shared" si="111"/>
        <v>0.39484952084526898</v>
      </c>
      <c r="I1188" s="4">
        <f t="shared" si="112"/>
        <v>-0.99689160526054188</v>
      </c>
    </row>
    <row r="1189" spans="1:9" x14ac:dyDescent="0.25">
      <c r="A1189" s="3">
        <v>41904</v>
      </c>
      <c r="B1189" s="4" t="s">
        <v>0</v>
      </c>
      <c r="C1189" s="4">
        <v>585.76443180000001</v>
      </c>
      <c r="D1189" s="6">
        <f t="shared" si="108"/>
        <v>-1.461214034233037E-2</v>
      </c>
      <c r="E1189" s="4">
        <f t="shared" si="109"/>
        <v>5.4872914662892451E-3</v>
      </c>
      <c r="F1189" s="6">
        <f t="shared" si="110"/>
        <v>-2.0099431808619617E-2</v>
      </c>
      <c r="G1189" s="4">
        <f t="shared" si="113"/>
        <v>1.5160769492451561E-2</v>
      </c>
      <c r="H1189" s="4">
        <f t="shared" si="111"/>
        <v>-1.325752747486002</v>
      </c>
      <c r="I1189" s="4">
        <f t="shared" si="112"/>
        <v>-1.7977487069380143</v>
      </c>
    </row>
    <row r="1190" spans="1:9" x14ac:dyDescent="0.25">
      <c r="A1190" s="3">
        <v>41905</v>
      </c>
      <c r="B1190" s="4" t="s">
        <v>0</v>
      </c>
      <c r="C1190" s="4">
        <v>579.54150279999999</v>
      </c>
      <c r="D1190" s="6">
        <f t="shared" si="108"/>
        <v>-1.0623603384175334E-2</v>
      </c>
      <c r="E1190" s="4">
        <f t="shared" si="109"/>
        <v>6.7743015231152559E-3</v>
      </c>
      <c r="F1190" s="6">
        <f t="shared" si="110"/>
        <v>-1.7397904907290589E-2</v>
      </c>
      <c r="G1190" s="4">
        <f t="shared" si="113"/>
        <v>4.6210775765873499E-2</v>
      </c>
      <c r="H1190" s="4">
        <f t="shared" si="111"/>
        <v>-0.37649021508396496</v>
      </c>
      <c r="I1190" s="4">
        <f t="shared" si="112"/>
        <v>-0.98981097423165776</v>
      </c>
    </row>
    <row r="1191" spans="1:9" x14ac:dyDescent="0.25">
      <c r="A1191" s="3">
        <v>41906</v>
      </c>
      <c r="B1191" s="4" t="s">
        <v>0</v>
      </c>
      <c r="C1191" s="4">
        <v>586.38272019999999</v>
      </c>
      <c r="D1191" s="6">
        <f t="shared" si="108"/>
        <v>1.1804534044494329E-2</v>
      </c>
      <c r="E1191" s="4">
        <f t="shared" si="109"/>
        <v>-2.0468915069175217E-3</v>
      </c>
      <c r="F1191" s="6">
        <f t="shared" si="110"/>
        <v>1.3851425551411851E-2</v>
      </c>
      <c r="G1191" s="4">
        <f t="shared" si="113"/>
        <v>2.2438438800773543E-2</v>
      </c>
      <c r="H1191" s="4">
        <f t="shared" si="111"/>
        <v>0.61730790071430175</v>
      </c>
      <c r="I1191" s="4">
        <f t="shared" si="112"/>
        <v>-1.1094730553468217</v>
      </c>
    </row>
    <row r="1192" spans="1:9" x14ac:dyDescent="0.25">
      <c r="A1192" s="3">
        <v>41907</v>
      </c>
      <c r="B1192" s="4" t="s">
        <v>0</v>
      </c>
      <c r="C1192" s="4">
        <v>573.48806950000005</v>
      </c>
      <c r="D1192" s="6">
        <f t="shared" si="108"/>
        <v>-2.1990161469290757E-2</v>
      </c>
      <c r="E1192" s="4">
        <f t="shared" si="109"/>
        <v>-8.5359469970683645E-3</v>
      </c>
      <c r="F1192" s="6">
        <f t="shared" si="110"/>
        <v>-1.3454214472222392E-2</v>
      </c>
      <c r="G1192" s="4">
        <f t="shared" si="113"/>
        <v>2.3420133765449894E-2</v>
      </c>
      <c r="H1192" s="4">
        <f t="shared" si="111"/>
        <v>-0.5744721446497657</v>
      </c>
      <c r="I1192" s="4">
        <f t="shared" si="112"/>
        <v>-1.0839476556939234</v>
      </c>
    </row>
    <row r="1193" spans="1:9" x14ac:dyDescent="0.25">
      <c r="A1193" s="3">
        <v>41908</v>
      </c>
      <c r="B1193" s="4" t="s">
        <v>0</v>
      </c>
      <c r="C1193" s="4">
        <v>575.52250300000003</v>
      </c>
      <c r="D1193" s="6">
        <f t="shared" si="108"/>
        <v>3.5474731004843984E-3</v>
      </c>
      <c r="E1193" s="4">
        <f t="shared" si="109"/>
        <v>1.2586861907088356E-3</v>
      </c>
      <c r="F1193" s="6">
        <f t="shared" si="110"/>
        <v>2.2887869097755627E-3</v>
      </c>
      <c r="G1193" s="4">
        <f t="shared" si="113"/>
        <v>2.2242553611034083E-2</v>
      </c>
      <c r="H1193" s="4">
        <f t="shared" si="111"/>
        <v>0.10290126528638067</v>
      </c>
      <c r="I1193" s="4">
        <f t="shared" si="112"/>
        <v>-0.92423286840344165</v>
      </c>
    </row>
    <row r="1194" spans="1:9" x14ac:dyDescent="0.25">
      <c r="A1194" s="3">
        <v>41911</v>
      </c>
      <c r="B1194" s="4" t="s">
        <v>0</v>
      </c>
      <c r="C1194" s="4">
        <v>574.7845231</v>
      </c>
      <c r="D1194" s="6">
        <f t="shared" si="108"/>
        <v>-1.282278097125991E-3</v>
      </c>
      <c r="E1194" s="4">
        <f t="shared" si="109"/>
        <v>-4.7911460987737162E-3</v>
      </c>
      <c r="F1194" s="6">
        <f t="shared" si="110"/>
        <v>3.5088680016477254E-3</v>
      </c>
      <c r="G1194" s="4">
        <f t="shared" si="113"/>
        <v>1.0459138380390351E-2</v>
      </c>
      <c r="H1194" s="4">
        <f t="shared" si="111"/>
        <v>0.33548346661388845</v>
      </c>
      <c r="I1194" s="4">
        <f t="shared" si="112"/>
        <v>-0.97521311139030875</v>
      </c>
    </row>
    <row r="1195" spans="1:9" x14ac:dyDescent="0.25">
      <c r="A1195" s="3">
        <v>41912</v>
      </c>
      <c r="B1195" s="4" t="s">
        <v>0</v>
      </c>
      <c r="C1195" s="4">
        <v>575.78178109999999</v>
      </c>
      <c r="D1195" s="6">
        <f t="shared" si="108"/>
        <v>1.735011921722337E-3</v>
      </c>
      <c r="E1195" s="4">
        <f t="shared" si="109"/>
        <v>-5.3784360006955334E-3</v>
      </c>
      <c r="F1195" s="6">
        <f t="shared" si="110"/>
        <v>7.1134479224178706E-3</v>
      </c>
      <c r="G1195" s="4">
        <f t="shared" si="113"/>
        <v>1.3180957466488154E-2</v>
      </c>
      <c r="H1195" s="4">
        <f t="shared" si="111"/>
        <v>0.53967611537351623</v>
      </c>
      <c r="I1195" s="4">
        <f t="shared" si="112"/>
        <v>-1.0645636879569971</v>
      </c>
    </row>
    <row r="1196" spans="1:9" x14ac:dyDescent="0.25">
      <c r="A1196" s="3">
        <v>41913</v>
      </c>
      <c r="B1196" s="4" t="s">
        <v>0</v>
      </c>
      <c r="C1196" s="4">
        <v>566.71667639999998</v>
      </c>
      <c r="D1196" s="6">
        <f t="shared" si="108"/>
        <v>-1.5743993640579618E-2</v>
      </c>
      <c r="E1196" s="4">
        <f t="shared" si="109"/>
        <v>5.9626791772703839E-4</v>
      </c>
      <c r="F1196" s="6">
        <f t="shared" si="110"/>
        <v>-1.6340261558306656E-2</v>
      </c>
      <c r="G1196" s="4">
        <f t="shared" si="113"/>
        <v>1.9857066725970537E-2</v>
      </c>
      <c r="H1196" s="4">
        <f t="shared" si="111"/>
        <v>-0.82289402477233242</v>
      </c>
      <c r="I1196" s="4">
        <f t="shared" si="112"/>
        <v>-1.2575158212076767</v>
      </c>
    </row>
    <row r="1197" spans="1:9" x14ac:dyDescent="0.25">
      <c r="A1197" s="3">
        <v>41914</v>
      </c>
      <c r="B1197" s="4" t="s">
        <v>0</v>
      </c>
      <c r="C1197" s="4">
        <v>568.52167770000005</v>
      </c>
      <c r="D1197" s="6">
        <f t="shared" si="108"/>
        <v>3.1850153262934257E-3</v>
      </c>
      <c r="E1197" s="4">
        <f t="shared" si="109"/>
        <v>2.702436134213321E-4</v>
      </c>
      <c r="F1197" s="6">
        <f t="shared" si="110"/>
        <v>2.9147717128720934E-3</v>
      </c>
      <c r="G1197" s="4">
        <f t="shared" si="113"/>
        <v>2.9707008206046229E-2</v>
      </c>
      <c r="H1197" s="4">
        <f t="shared" si="111"/>
        <v>9.8117309311506293E-2</v>
      </c>
      <c r="I1197" s="4">
        <f t="shared" si="112"/>
        <v>-0.92375203639793757</v>
      </c>
    </row>
    <row r="1198" spans="1:9" x14ac:dyDescent="0.25">
      <c r="A1198" s="3">
        <v>41915</v>
      </c>
      <c r="B1198" s="4" t="s">
        <v>0</v>
      </c>
      <c r="C1198" s="4">
        <v>573.70749209999997</v>
      </c>
      <c r="D1198" s="6">
        <f t="shared" si="108"/>
        <v>9.1215772474666935E-3</v>
      </c>
      <c r="E1198" s="4">
        <f t="shared" si="109"/>
        <v>-5.4871866249362519E-3</v>
      </c>
      <c r="F1198" s="6">
        <f t="shared" si="110"/>
        <v>1.4608763872402945E-2</v>
      </c>
      <c r="G1198" s="4">
        <f t="shared" si="113"/>
        <v>1.2836086411574242E-2</v>
      </c>
      <c r="H1198" s="4">
        <f t="shared" si="111"/>
        <v>1.1381010850184281</v>
      </c>
      <c r="I1198" s="4">
        <f t="shared" si="112"/>
        <v>-1.5665755730647344</v>
      </c>
    </row>
    <row r="1199" spans="1:9" x14ac:dyDescent="0.25">
      <c r="A1199" s="3">
        <v>41918</v>
      </c>
      <c r="B1199" s="4" t="s">
        <v>0</v>
      </c>
      <c r="C1199" s="4">
        <v>575.77183239999999</v>
      </c>
      <c r="D1199" s="6">
        <f t="shared" si="108"/>
        <v>3.5982453226185195E-3</v>
      </c>
      <c r="E1199" s="4">
        <f t="shared" si="109"/>
        <v>-3.6038852814941685E-3</v>
      </c>
      <c r="F1199" s="6">
        <f t="shared" si="110"/>
        <v>7.202130604112688E-3</v>
      </c>
      <c r="G1199" s="4">
        <f t="shared" si="113"/>
        <v>3.9743562652475341E-2</v>
      </c>
      <c r="H1199" s="4">
        <f t="shared" si="111"/>
        <v>0.1812150225959705</v>
      </c>
      <c r="I1199" s="4">
        <f t="shared" si="112"/>
        <v>-0.93535797541190169</v>
      </c>
    </row>
    <row r="1200" spans="1:9" x14ac:dyDescent="0.25">
      <c r="A1200" s="3">
        <v>41919</v>
      </c>
      <c r="B1200" s="4" t="s">
        <v>0</v>
      </c>
      <c r="C1200" s="4">
        <v>562.19901660000005</v>
      </c>
      <c r="D1200" s="6">
        <f t="shared" si="108"/>
        <v>-2.3573254258417147E-2</v>
      </c>
      <c r="E1200" s="4">
        <f t="shared" si="109"/>
        <v>4.4624793646679964E-3</v>
      </c>
      <c r="F1200" s="6">
        <f t="shared" si="110"/>
        <v>-2.8035733623085143E-2</v>
      </c>
      <c r="G1200" s="4">
        <f t="shared" si="113"/>
        <v>1.7139801954800526E-2</v>
      </c>
      <c r="H1200" s="4">
        <f t="shared" si="111"/>
        <v>-1.6357093096535387</v>
      </c>
      <c r="I1200" s="4">
        <f t="shared" si="112"/>
        <v>-2.2567110060483007</v>
      </c>
    </row>
    <row r="1201" spans="1:9" x14ac:dyDescent="0.25">
      <c r="A1201" s="3">
        <v>41920</v>
      </c>
      <c r="B1201" s="4" t="s">
        <v>0</v>
      </c>
      <c r="C1201" s="4">
        <v>570.93507969999996</v>
      </c>
      <c r="D1201" s="6">
        <f t="shared" si="108"/>
        <v>1.5539093527471513E-2</v>
      </c>
      <c r="E1201" s="4">
        <f t="shared" si="109"/>
        <v>4.1685661469841751E-3</v>
      </c>
      <c r="F1201" s="6">
        <f t="shared" si="110"/>
        <v>1.1370527380487338E-2</v>
      </c>
      <c r="G1201" s="4">
        <f t="shared" si="113"/>
        <v>5.6829166918889618E-2</v>
      </c>
      <c r="H1201" s="4">
        <f t="shared" si="111"/>
        <v>0.20008259837270032</v>
      </c>
      <c r="I1201" s="4">
        <f t="shared" si="112"/>
        <v>-0.93895505629045828</v>
      </c>
    </row>
    <row r="1202" spans="1:9" x14ac:dyDescent="0.25">
      <c r="A1202" s="3">
        <v>41921</v>
      </c>
      <c r="B1202" s="4" t="s">
        <v>0</v>
      </c>
      <c r="C1202" s="4">
        <v>559.34683129999996</v>
      </c>
      <c r="D1202" s="6">
        <f t="shared" si="108"/>
        <v>-2.0296963371192901E-2</v>
      </c>
      <c r="E1202" s="4">
        <f t="shared" si="109"/>
        <v>-7.9092838112869435E-3</v>
      </c>
      <c r="F1202" s="6">
        <f t="shared" si="110"/>
        <v>-1.2387679559905957E-2</v>
      </c>
      <c r="G1202" s="4">
        <f t="shared" si="113"/>
        <v>2.3296340801338668E-2</v>
      </c>
      <c r="H1202" s="4">
        <f t="shared" si="111"/>
        <v>-0.53174357576337172</v>
      </c>
      <c r="I1202" s="4">
        <f t="shared" si="112"/>
        <v>-1.0603141483874809</v>
      </c>
    </row>
    <row r="1203" spans="1:9" x14ac:dyDescent="0.25">
      <c r="A1203" s="3">
        <v>41922</v>
      </c>
      <c r="B1203" s="4" t="s">
        <v>0</v>
      </c>
      <c r="C1203" s="4">
        <v>543.00166490000004</v>
      </c>
      <c r="D1203" s="6">
        <f t="shared" si="108"/>
        <v>-2.9221880746175825E-2</v>
      </c>
      <c r="E1203" s="4">
        <f t="shared" si="109"/>
        <v>-1.2794946957445964E-3</v>
      </c>
      <c r="F1203" s="6">
        <f t="shared" si="110"/>
        <v>-2.7942386050431228E-2</v>
      </c>
      <c r="G1203" s="4">
        <f t="shared" si="113"/>
        <v>2.0929125477791567E-2</v>
      </c>
      <c r="H1203" s="4">
        <f t="shared" si="111"/>
        <v>-1.3350957296367501</v>
      </c>
      <c r="I1203" s="4">
        <f t="shared" si="112"/>
        <v>-1.8101788368518157</v>
      </c>
    </row>
    <row r="1204" spans="1:9" x14ac:dyDescent="0.25">
      <c r="A1204" s="3">
        <v>41925</v>
      </c>
      <c r="B1204" s="4" t="s">
        <v>0</v>
      </c>
      <c r="C1204" s="4">
        <v>531.75246760000005</v>
      </c>
      <c r="D1204" s="6">
        <f t="shared" si="108"/>
        <v>-2.0716690255584501E-2</v>
      </c>
      <c r="E1204" s="4">
        <f t="shared" si="109"/>
        <v>-3.0008099439346805E-3</v>
      </c>
      <c r="F1204" s="6">
        <f t="shared" si="110"/>
        <v>-1.771588031164982E-2</v>
      </c>
      <c r="G1204" s="4">
        <f t="shared" si="113"/>
        <v>4.6852452639576159E-2</v>
      </c>
      <c r="H1204" s="4">
        <f t="shared" si="111"/>
        <v>-0.37812065993499894</v>
      </c>
      <c r="I1204" s="4">
        <f t="shared" si="112"/>
        <v>-0.99042614993951217</v>
      </c>
    </row>
    <row r="1205" spans="1:9" x14ac:dyDescent="0.25">
      <c r="A1205" s="3">
        <v>41926</v>
      </c>
      <c r="B1205" s="4" t="s">
        <v>0</v>
      </c>
      <c r="C1205" s="4">
        <v>536.4695309</v>
      </c>
      <c r="D1205" s="6">
        <f t="shared" si="108"/>
        <v>8.8707877958514036E-3</v>
      </c>
      <c r="E1205" s="4">
        <f t="shared" si="109"/>
        <v>-1.7387321965727235E-2</v>
      </c>
      <c r="F1205" s="6">
        <f t="shared" si="110"/>
        <v>2.6258109761578639E-2</v>
      </c>
      <c r="G1205" s="4">
        <f t="shared" si="113"/>
        <v>2.2663620145218433E-2</v>
      </c>
      <c r="H1205" s="4">
        <f t="shared" si="111"/>
        <v>1.1586017411749892</v>
      </c>
      <c r="I1205" s="4">
        <f t="shared" si="112"/>
        <v>-1.5901175305315309</v>
      </c>
    </row>
    <row r="1206" spans="1:9" x14ac:dyDescent="0.25">
      <c r="A1206" s="3">
        <v>41927</v>
      </c>
      <c r="B1206" s="4" t="s">
        <v>0</v>
      </c>
      <c r="C1206" s="4">
        <v>528.58118930000001</v>
      </c>
      <c r="D1206" s="6">
        <f t="shared" si="108"/>
        <v>-1.4704174506921637E-2</v>
      </c>
      <c r="E1206" s="4">
        <f t="shared" si="109"/>
        <v>-1.6868648338112781E-2</v>
      </c>
      <c r="F1206" s="6">
        <f t="shared" si="110"/>
        <v>2.1644738311911438E-3</v>
      </c>
      <c r="G1206" s="4">
        <f t="shared" si="113"/>
        <v>4.1061342329514035E-2</v>
      </c>
      <c r="H1206" s="4">
        <f t="shared" si="111"/>
        <v>5.2713177611715956E-2</v>
      </c>
      <c r="I1206" s="4">
        <f t="shared" si="112"/>
        <v>-0.92032787275163486</v>
      </c>
    </row>
    <row r="1207" spans="1:9" x14ac:dyDescent="0.25">
      <c r="A1207" s="3">
        <v>41928</v>
      </c>
      <c r="B1207" s="4" t="s">
        <v>0</v>
      </c>
      <c r="C1207" s="4">
        <v>523.07628109999996</v>
      </c>
      <c r="D1207" s="6">
        <f t="shared" si="108"/>
        <v>-1.0414498872519839E-2</v>
      </c>
      <c r="E1207" s="4">
        <f t="shared" si="109"/>
        <v>-2.9537084894889739E-3</v>
      </c>
      <c r="F1207" s="6">
        <f t="shared" si="110"/>
        <v>-7.460790383030865E-3</v>
      </c>
      <c r="G1207" s="4">
        <f t="shared" si="113"/>
        <v>1.6545838465340888E-2</v>
      </c>
      <c r="H1207" s="4">
        <f t="shared" si="111"/>
        <v>-0.45091642824020239</v>
      </c>
      <c r="I1207" s="4">
        <f t="shared" si="112"/>
        <v>-1.0206013458331236</v>
      </c>
    </row>
    <row r="1208" spans="1:9" x14ac:dyDescent="0.25">
      <c r="A1208" s="3">
        <v>41929</v>
      </c>
      <c r="B1208" s="4" t="s">
        <v>0</v>
      </c>
      <c r="C1208" s="4">
        <v>509.77272399999998</v>
      </c>
      <c r="D1208" s="6">
        <f t="shared" si="108"/>
        <v>-2.5433302140986675E-2</v>
      </c>
      <c r="E1208" s="4">
        <f t="shared" si="109"/>
        <v>-2.9046102259978513E-3</v>
      </c>
      <c r="F1208" s="6">
        <f t="shared" si="110"/>
        <v>-2.2528691914988824E-2</v>
      </c>
      <c r="G1208" s="4">
        <f t="shared" si="113"/>
        <v>1.7463391460442443E-2</v>
      </c>
      <c r="H1208" s="4">
        <f t="shared" si="111"/>
        <v>-1.2900525058961285</v>
      </c>
      <c r="I1208" s="4">
        <f t="shared" si="112"/>
        <v>-1.751056267189113</v>
      </c>
    </row>
    <row r="1209" spans="1:9" x14ac:dyDescent="0.25">
      <c r="A1209" s="3">
        <v>41932</v>
      </c>
      <c r="B1209" s="4" t="s">
        <v>0</v>
      </c>
      <c r="C1209" s="4">
        <v>519.41629160000002</v>
      </c>
      <c r="D1209" s="6">
        <f t="shared" si="108"/>
        <v>1.8917386407673001E-2</v>
      </c>
      <c r="E1209" s="4">
        <f t="shared" si="109"/>
        <v>-8.484941116463255E-3</v>
      </c>
      <c r="F1209" s="6">
        <f t="shared" si="110"/>
        <v>2.7402327524136256E-2</v>
      </c>
      <c r="G1209" s="4">
        <f t="shared" si="113"/>
        <v>4.5122283666226594E-2</v>
      </c>
      <c r="H1209" s="4">
        <f t="shared" si="111"/>
        <v>0.60729035185438807</v>
      </c>
      <c r="I1209" s="4">
        <f t="shared" si="112"/>
        <v>-1.1033393189323859</v>
      </c>
    </row>
    <row r="1210" spans="1:9" x14ac:dyDescent="0.25">
      <c r="A1210" s="3">
        <v>41933</v>
      </c>
      <c r="B1210" s="4" t="s">
        <v>0</v>
      </c>
      <c r="C1210" s="4">
        <v>525.10070499999995</v>
      </c>
      <c r="D1210" s="6">
        <f t="shared" si="108"/>
        <v>1.0943848877919804E-2</v>
      </c>
      <c r="E1210" s="4">
        <f t="shared" si="109"/>
        <v>-1.2911707801158507E-2</v>
      </c>
      <c r="F1210" s="6">
        <f t="shared" si="110"/>
        <v>2.3855556679078311E-2</v>
      </c>
      <c r="G1210" s="4">
        <f t="shared" si="113"/>
        <v>2.7519664576146779E-2</v>
      </c>
      <c r="H1210" s="4">
        <f t="shared" si="111"/>
        <v>0.8668549216168715</v>
      </c>
      <c r="I1210" s="4">
        <f t="shared" si="112"/>
        <v>-1.2946572607703688</v>
      </c>
    </row>
    <row r="1211" spans="1:9" x14ac:dyDescent="0.25">
      <c r="A1211" s="3">
        <v>41934</v>
      </c>
      <c r="B1211" s="4" t="s">
        <v>0</v>
      </c>
      <c r="C1211" s="4">
        <v>531.25386949999995</v>
      </c>
      <c r="D1211" s="6">
        <f t="shared" si="108"/>
        <v>1.1718065585152858E-2</v>
      </c>
      <c r="E1211" s="4">
        <f t="shared" si="109"/>
        <v>-5.5706249605276363E-4</v>
      </c>
      <c r="F1211" s="6">
        <f t="shared" si="110"/>
        <v>1.2275128081205622E-2</v>
      </c>
      <c r="G1211" s="4">
        <f t="shared" si="113"/>
        <v>3.1987431041939553E-2</v>
      </c>
      <c r="H1211" s="4">
        <f t="shared" si="111"/>
        <v>0.38374848124287886</v>
      </c>
      <c r="I1211" s="4">
        <f t="shared" si="112"/>
        <v>-0.99256998163278065</v>
      </c>
    </row>
    <row r="1212" spans="1:9" x14ac:dyDescent="0.25">
      <c r="A1212" s="3">
        <v>41935</v>
      </c>
      <c r="B1212" s="4" t="s">
        <v>0</v>
      </c>
      <c r="C1212" s="4">
        <v>542.49305630000003</v>
      </c>
      <c r="D1212" s="6">
        <f t="shared" si="108"/>
        <v>2.1155962234360882E-2</v>
      </c>
      <c r="E1212" s="4">
        <f t="shared" si="109"/>
        <v>9.9773317802583396E-3</v>
      </c>
      <c r="F1212" s="6">
        <f t="shared" si="110"/>
        <v>1.1178630454102542E-2</v>
      </c>
      <c r="G1212" s="4">
        <f t="shared" si="113"/>
        <v>1.8652747182369232E-2</v>
      </c>
      <c r="H1212" s="4">
        <f t="shared" si="111"/>
        <v>0.59930209447478588</v>
      </c>
      <c r="I1212" s="4">
        <f t="shared" si="112"/>
        <v>-1.0985200334256053</v>
      </c>
    </row>
    <row r="1213" spans="1:9" x14ac:dyDescent="0.25">
      <c r="A1213" s="3">
        <v>41936</v>
      </c>
      <c r="B1213" s="4" t="s">
        <v>0</v>
      </c>
      <c r="C1213" s="4">
        <v>538.30449999999996</v>
      </c>
      <c r="D1213" s="6">
        <f t="shared" si="108"/>
        <v>-7.7209399297523736E-3</v>
      </c>
      <c r="E1213" s="4">
        <f t="shared" si="109"/>
        <v>7.8315739893783706E-3</v>
      </c>
      <c r="F1213" s="6">
        <f t="shared" si="110"/>
        <v>-1.5552513919130744E-2</v>
      </c>
      <c r="G1213" s="4">
        <f t="shared" si="113"/>
        <v>2.2359461867018562E-2</v>
      </c>
      <c r="H1213" s="4">
        <f t="shared" si="111"/>
        <v>-0.69556745200883208</v>
      </c>
      <c r="I1213" s="4">
        <f t="shared" si="112"/>
        <v>-1.160845573351702</v>
      </c>
    </row>
    <row r="1214" spans="1:9" x14ac:dyDescent="0.25">
      <c r="A1214" s="3">
        <v>41939</v>
      </c>
      <c r="B1214" s="4" t="s">
        <v>0</v>
      </c>
      <c r="C1214" s="4">
        <v>539.29180929999995</v>
      </c>
      <c r="D1214" s="6">
        <f t="shared" si="108"/>
        <v>1.8341093191678551E-3</v>
      </c>
      <c r="E1214" s="4">
        <f t="shared" si="109"/>
        <v>1.1676013769774942E-2</v>
      </c>
      <c r="F1214" s="6">
        <f t="shared" si="110"/>
        <v>-9.8419044506070866E-3</v>
      </c>
      <c r="G1214" s="4">
        <f t="shared" si="113"/>
        <v>2.5872981417390788E-2</v>
      </c>
      <c r="H1214" s="4">
        <f t="shared" si="111"/>
        <v>-0.38039313258238383</v>
      </c>
      <c r="I1214" s="4">
        <f t="shared" si="112"/>
        <v>-0.99128800086259228</v>
      </c>
    </row>
    <row r="1215" spans="1:9" x14ac:dyDescent="0.25">
      <c r="A1215" s="3">
        <v>41940</v>
      </c>
      <c r="B1215" s="4" t="s">
        <v>0</v>
      </c>
      <c r="C1215" s="4">
        <v>547.39957249999998</v>
      </c>
      <c r="D1215" s="6">
        <f t="shared" si="108"/>
        <v>1.5034092971899365E-2</v>
      </c>
      <c r="E1215" s="4">
        <f t="shared" si="109"/>
        <v>3.5275420437793905E-3</v>
      </c>
      <c r="F1215" s="6">
        <f t="shared" si="110"/>
        <v>1.1506550928119974E-2</v>
      </c>
      <c r="G1215" s="4">
        <f t="shared" si="113"/>
        <v>1.7127173922578415E-2</v>
      </c>
      <c r="H1215" s="4">
        <f t="shared" si="111"/>
        <v>0.67183009760595214</v>
      </c>
      <c r="I1215" s="4">
        <f t="shared" si="112"/>
        <v>-1.1446163732292842</v>
      </c>
    </row>
    <row r="1216" spans="1:9" x14ac:dyDescent="0.25">
      <c r="A1216" s="3">
        <v>41941</v>
      </c>
      <c r="B1216" s="4" t="s">
        <v>0</v>
      </c>
      <c r="C1216" s="4">
        <v>547.82840710000005</v>
      </c>
      <c r="D1216" s="6">
        <f t="shared" si="108"/>
        <v>7.8340324242776591E-4</v>
      </c>
      <c r="E1216" s="4">
        <f t="shared" si="109"/>
        <v>-1.6631123743705435E-3</v>
      </c>
      <c r="F1216" s="6">
        <f t="shared" si="110"/>
        <v>2.4465156167983093E-3</v>
      </c>
      <c r="G1216" s="4">
        <f t="shared" si="113"/>
        <v>2.4514169798735184E-2</v>
      </c>
      <c r="H1216" s="4">
        <f t="shared" si="111"/>
        <v>9.9800060001401222E-2</v>
      </c>
      <c r="I1216" s="4">
        <f t="shared" si="112"/>
        <v>-0.92391855919281429</v>
      </c>
    </row>
    <row r="1217" spans="1:9" x14ac:dyDescent="0.25">
      <c r="A1217" s="3">
        <v>41942</v>
      </c>
      <c r="B1217" s="4" t="s">
        <v>0</v>
      </c>
      <c r="C1217" s="4">
        <v>548.80576780000001</v>
      </c>
      <c r="D1217" s="6">
        <f t="shared" si="108"/>
        <v>1.7840635632126985E-3</v>
      </c>
      <c r="E1217" s="4">
        <f t="shared" si="109"/>
        <v>6.3089369972944443E-3</v>
      </c>
      <c r="F1217" s="6">
        <f t="shared" si="110"/>
        <v>-4.5248734340817458E-3</v>
      </c>
      <c r="G1217" s="4">
        <f t="shared" si="113"/>
        <v>1.1141295931156895E-2</v>
      </c>
      <c r="H1217" s="4">
        <f t="shared" si="111"/>
        <v>-0.40613528821434774</v>
      </c>
      <c r="I1217" s="4">
        <f t="shared" si="112"/>
        <v>-1.0014114693711482</v>
      </c>
    </row>
    <row r="1218" spans="1:9" x14ac:dyDescent="0.25">
      <c r="A1218" s="3">
        <v>41943</v>
      </c>
      <c r="B1218" s="4" t="s">
        <v>0</v>
      </c>
      <c r="C1218" s="4">
        <v>557.55177960000003</v>
      </c>
      <c r="D1218" s="6">
        <f t="shared" si="108"/>
        <v>1.5936442933280736E-2</v>
      </c>
      <c r="E1218" s="4">
        <f t="shared" si="109"/>
        <v>4.9037386897007014E-3</v>
      </c>
      <c r="F1218" s="6">
        <f t="shared" si="110"/>
        <v>1.1032704243580035E-2</v>
      </c>
      <c r="G1218" s="4">
        <f t="shared" si="113"/>
        <v>1.5421001822278221E-2</v>
      </c>
      <c r="H1218" s="4">
        <f t="shared" si="111"/>
        <v>0.7154336904131251</v>
      </c>
      <c r="I1218" s="4">
        <f t="shared" si="112"/>
        <v>-1.1748612158937444</v>
      </c>
    </row>
    <row r="1219" spans="1:9" x14ac:dyDescent="0.25">
      <c r="A1219" s="3">
        <v>41946</v>
      </c>
      <c r="B1219" s="4" t="s">
        <v>0</v>
      </c>
      <c r="C1219" s="4">
        <v>553.70233519999999</v>
      </c>
      <c r="D1219" s="6">
        <f t="shared" si="108"/>
        <v>-6.9041917555383199E-3</v>
      </c>
      <c r="E1219" s="4">
        <f t="shared" si="109"/>
        <v>9.2224812947278045E-4</v>
      </c>
      <c r="F1219" s="6">
        <f t="shared" si="110"/>
        <v>-7.8264398850111001E-3</v>
      </c>
      <c r="G1219" s="4">
        <f t="shared" si="113"/>
        <v>2.5774770229126723E-2</v>
      </c>
      <c r="H1219" s="4">
        <f t="shared" si="111"/>
        <v>-0.30364731927529848</v>
      </c>
      <c r="I1219" s="4">
        <f t="shared" si="112"/>
        <v>-0.96503938045621018</v>
      </c>
    </row>
    <row r="1220" spans="1:9" x14ac:dyDescent="0.25">
      <c r="A1220" s="3">
        <v>41947</v>
      </c>
      <c r="B1220" s="4" t="s">
        <v>0</v>
      </c>
      <c r="C1220" s="4">
        <v>552.59533550000003</v>
      </c>
      <c r="D1220" s="6">
        <f t="shared" ref="D1220:D1283" si="114">(C1220-C1219)/C1219</f>
        <v>-1.9992686135233773E-3</v>
      </c>
      <c r="E1220" s="4">
        <f t="shared" si="109"/>
        <v>6.6384062577428266E-3</v>
      </c>
      <c r="F1220" s="6">
        <f t="shared" si="110"/>
        <v>-8.637674871266203E-3</v>
      </c>
      <c r="G1220" s="4">
        <f t="shared" si="113"/>
        <v>1.5184191977023776E-2</v>
      </c>
      <c r="H1220" s="4">
        <f t="shared" si="111"/>
        <v>-0.56885969858234475</v>
      </c>
      <c r="I1220" s="4">
        <f t="shared" si="112"/>
        <v>-1.080739211540271</v>
      </c>
    </row>
    <row r="1221" spans="1:9" x14ac:dyDescent="0.25">
      <c r="A1221" s="3">
        <v>41948</v>
      </c>
      <c r="B1221" s="4" t="s">
        <v>0</v>
      </c>
      <c r="C1221" s="4">
        <v>544.42775759999995</v>
      </c>
      <c r="D1221" s="6">
        <f t="shared" si="114"/>
        <v>-1.4780396024533729E-2</v>
      </c>
      <c r="E1221" s="4">
        <f t="shared" si="109"/>
        <v>2.2412018962138058E-3</v>
      </c>
      <c r="F1221" s="6">
        <f t="shared" si="110"/>
        <v>-1.7021597920747533E-2</v>
      </c>
      <c r="G1221" s="4">
        <f t="shared" si="113"/>
        <v>2.0995615790826924E-2</v>
      </c>
      <c r="H1221" s="4">
        <f t="shared" si="111"/>
        <v>-0.81072153778811018</v>
      </c>
      <c r="I1221" s="4">
        <f t="shared" si="112"/>
        <v>-1.2475732391214316</v>
      </c>
    </row>
    <row r="1222" spans="1:9" x14ac:dyDescent="0.25">
      <c r="A1222" s="3">
        <v>41949</v>
      </c>
      <c r="B1222" s="4" t="s">
        <v>0</v>
      </c>
      <c r="C1222" s="4">
        <v>540.55835500000001</v>
      </c>
      <c r="D1222" s="6">
        <f t="shared" si="114"/>
        <v>-7.1072838333178043E-3</v>
      </c>
      <c r="E1222" s="4">
        <f t="shared" si="109"/>
        <v>-2.8789984486210659E-3</v>
      </c>
      <c r="F1222" s="6">
        <f t="shared" si="110"/>
        <v>-4.228285384696738E-3</v>
      </c>
      <c r="G1222" s="4">
        <f t="shared" si="113"/>
        <v>2.9424208860931646E-2</v>
      </c>
      <c r="H1222" s="4">
        <f t="shared" si="111"/>
        <v>-0.14370090304486982</v>
      </c>
      <c r="I1222" s="4">
        <f t="shared" si="112"/>
        <v>-0.92926350797262824</v>
      </c>
    </row>
    <row r="1223" spans="1:9" x14ac:dyDescent="0.25">
      <c r="A1223" s="3">
        <v>41950</v>
      </c>
      <c r="B1223" s="4" t="s">
        <v>0</v>
      </c>
      <c r="C1223" s="4">
        <v>539.5311901</v>
      </c>
      <c r="D1223" s="6">
        <f t="shared" si="114"/>
        <v>-1.9001924408327802E-3</v>
      </c>
      <c r="E1223" s="4">
        <f t="shared" ref="E1223:E1286" si="115">+$M$16*D1222+$M$17*D1221+$M$18*D1220</f>
        <v>-6.2626608045903611E-3</v>
      </c>
      <c r="F1223" s="6">
        <f t="shared" ref="F1223:F1286" si="116">D1223-E1223</f>
        <v>4.3624683637575809E-3</v>
      </c>
      <c r="G1223" s="4">
        <f t="shared" si="113"/>
        <v>1.3242174905532828E-2</v>
      </c>
      <c r="H1223" s="4">
        <f t="shared" ref="H1223:H1286" si="117">F1223/G1223</f>
        <v>0.32943745229757238</v>
      </c>
      <c r="I1223" s="4">
        <f t="shared" ref="I1223:I1286" si="118">LN(_xlfn.NORM.DIST(H1223,0,1,FALSE))</f>
        <v>-0.97320305069283042</v>
      </c>
    </row>
    <row r="1224" spans="1:9" x14ac:dyDescent="0.25">
      <c r="A1224" s="3">
        <v>41953</v>
      </c>
      <c r="B1224" s="4" t="s">
        <v>0</v>
      </c>
      <c r="C1224" s="4">
        <v>545.99343799999997</v>
      </c>
      <c r="D1224" s="6">
        <f t="shared" si="114"/>
        <v>1.1977524225804653E-2</v>
      </c>
      <c r="E1224" s="4">
        <f t="shared" si="115"/>
        <v>-7.2435338830079566E-3</v>
      </c>
      <c r="F1224" s="6">
        <f t="shared" si="116"/>
        <v>1.9221058108812611E-2</v>
      </c>
      <c r="G1224" s="4">
        <f t="shared" ref="G1224:G1287" si="119">SQRT($M$12 + $M$13 *H1223^2+$M$14*G1223^2)</f>
        <v>1.3364087429394036E-2</v>
      </c>
      <c r="H1224" s="4">
        <f t="shared" si="117"/>
        <v>1.4382619247563653</v>
      </c>
      <c r="I1224" s="4">
        <f t="shared" si="118"/>
        <v>-1.9532372153066149</v>
      </c>
    </row>
    <row r="1225" spans="1:9" x14ac:dyDescent="0.25">
      <c r="A1225" s="3">
        <v>41954</v>
      </c>
      <c r="B1225" s="4" t="s">
        <v>0</v>
      </c>
      <c r="C1225" s="4">
        <v>548.78580959999999</v>
      </c>
      <c r="D1225" s="6">
        <f t="shared" si="114"/>
        <v>5.1142951648441319E-3</v>
      </c>
      <c r="E1225" s="4">
        <f t="shared" si="115"/>
        <v>-2.9027859228186246E-3</v>
      </c>
      <c r="F1225" s="6">
        <f t="shared" si="116"/>
        <v>8.0170810876627561E-3</v>
      </c>
      <c r="G1225" s="4">
        <f t="shared" si="119"/>
        <v>4.9954780022101304E-2</v>
      </c>
      <c r="H1225" s="4">
        <f t="shared" si="117"/>
        <v>0.16048676591340788</v>
      </c>
      <c r="I1225" s="4">
        <f t="shared" si="118"/>
        <v>-0.93181653422134514</v>
      </c>
    </row>
    <row r="1226" spans="1:9" x14ac:dyDescent="0.25">
      <c r="A1226" s="3">
        <v>41955</v>
      </c>
      <c r="B1226" s="4" t="s">
        <v>0</v>
      </c>
      <c r="C1226" s="4">
        <v>545.81393279999998</v>
      </c>
      <c r="D1226" s="6">
        <f t="shared" si="114"/>
        <v>-5.4153674311771382E-3</v>
      </c>
      <c r="E1226" s="4">
        <f t="shared" si="115"/>
        <v>3.996922733381085E-3</v>
      </c>
      <c r="F1226" s="6">
        <f t="shared" si="116"/>
        <v>-9.4122901645582232E-3</v>
      </c>
      <c r="G1226" s="4">
        <f t="shared" si="119"/>
        <v>2.0466432862751148E-2</v>
      </c>
      <c r="H1226" s="4">
        <f t="shared" si="117"/>
        <v>-0.45988913787163005</v>
      </c>
      <c r="I1226" s="4">
        <f t="shared" si="118"/>
        <v>-1.0246875427708282</v>
      </c>
    </row>
    <row r="1227" spans="1:9" x14ac:dyDescent="0.25">
      <c r="A1227" s="3">
        <v>41956</v>
      </c>
      <c r="B1227" s="4" t="s">
        <v>0</v>
      </c>
      <c r="C1227" s="4">
        <v>543.88924210000005</v>
      </c>
      <c r="D1227" s="6">
        <f t="shared" si="114"/>
        <v>-3.5262762350648596E-3</v>
      </c>
      <c r="E1227" s="4">
        <f t="shared" si="115"/>
        <v>5.6231237340265521E-3</v>
      </c>
      <c r="F1227" s="6">
        <f t="shared" si="116"/>
        <v>-9.1493999690914121E-3</v>
      </c>
      <c r="G1227" s="4">
        <f t="shared" si="119"/>
        <v>1.8324141405925313E-2</v>
      </c>
      <c r="H1227" s="4">
        <f t="shared" si="117"/>
        <v>-0.49930852236999507</v>
      </c>
      <c r="I1227" s="4">
        <f t="shared" si="118"/>
        <v>-1.0435930334603265</v>
      </c>
    </row>
    <row r="1228" spans="1:9" x14ac:dyDescent="0.25">
      <c r="A1228" s="3">
        <v>41957</v>
      </c>
      <c r="B1228" s="4" t="s">
        <v>0</v>
      </c>
      <c r="C1228" s="4">
        <v>542.91188139999997</v>
      </c>
      <c r="D1228" s="6">
        <f t="shared" si="114"/>
        <v>-1.7969847982769588E-3</v>
      </c>
      <c r="E1228" s="4">
        <f t="shared" si="115"/>
        <v>-5.0398874086398792E-4</v>
      </c>
      <c r="F1228" s="6">
        <f t="shared" si="116"/>
        <v>-1.2929960574129709E-3</v>
      </c>
      <c r="G1228" s="4">
        <f t="shared" si="119"/>
        <v>1.9192431510530409E-2</v>
      </c>
      <c r="H1228" s="4">
        <f t="shared" si="117"/>
        <v>-6.737010142271635E-2</v>
      </c>
      <c r="I1228" s="4">
        <f t="shared" si="118"/>
        <v>-0.92120789848752627</v>
      </c>
    </row>
    <row r="1229" spans="1:9" x14ac:dyDescent="0.25">
      <c r="A1229" s="3">
        <v>41960</v>
      </c>
      <c r="B1229" s="4" t="s">
        <v>0</v>
      </c>
      <c r="C1229" s="4">
        <v>535.04343719999997</v>
      </c>
      <c r="D1229" s="6">
        <f t="shared" si="114"/>
        <v>-1.4493041080091565E-2</v>
      </c>
      <c r="E1229" s="4">
        <f t="shared" si="115"/>
        <v>-3.0065263140295999E-3</v>
      </c>
      <c r="F1229" s="6">
        <f t="shared" si="116"/>
        <v>-1.1486514766061965E-2</v>
      </c>
      <c r="G1229" s="4">
        <f t="shared" si="119"/>
        <v>9.1557052060693752E-3</v>
      </c>
      <c r="H1229" s="4">
        <f t="shared" si="117"/>
        <v>-1.2545745529735364</v>
      </c>
      <c r="I1229" s="4">
        <f t="shared" si="118"/>
        <v>-1.7059171876890471</v>
      </c>
    </row>
    <row r="1230" spans="1:9" x14ac:dyDescent="0.25">
      <c r="A1230" s="3">
        <v>41961</v>
      </c>
      <c r="B1230" s="4" t="s">
        <v>0</v>
      </c>
      <c r="C1230" s="4">
        <v>533.56753930000002</v>
      </c>
      <c r="D1230" s="6">
        <f t="shared" si="114"/>
        <v>-2.7584637010476167E-3</v>
      </c>
      <c r="E1230" s="4">
        <f t="shared" si="115"/>
        <v>-1.7671697024260473E-3</v>
      </c>
      <c r="F1230" s="6">
        <f t="shared" si="116"/>
        <v>-9.9129399862156941E-4</v>
      </c>
      <c r="G1230" s="4">
        <f t="shared" si="119"/>
        <v>4.355575703699939E-2</v>
      </c>
      <c r="H1230" s="4">
        <f t="shared" si="117"/>
        <v>-2.2759195708146985E-2</v>
      </c>
      <c r="I1230" s="4">
        <f t="shared" si="118"/>
        <v>-0.91919752369931362</v>
      </c>
    </row>
    <row r="1231" spans="1:9" x14ac:dyDescent="0.25">
      <c r="A1231" s="3">
        <v>41962</v>
      </c>
      <c r="B1231" s="4" t="s">
        <v>0</v>
      </c>
      <c r="C1231" s="4">
        <v>535.52213900000004</v>
      </c>
      <c r="D1231" s="6">
        <f t="shared" si="114"/>
        <v>3.6632657649382176E-3</v>
      </c>
      <c r="E1231" s="4">
        <f t="shared" si="115"/>
        <v>-6.0907741384594013E-3</v>
      </c>
      <c r="F1231" s="6">
        <f t="shared" si="116"/>
        <v>9.7540399033976197E-3</v>
      </c>
      <c r="G1231" s="4">
        <f t="shared" si="119"/>
        <v>1.7373859714047341E-2</v>
      </c>
      <c r="H1231" s="4">
        <f t="shared" si="117"/>
        <v>0.56142043644517026</v>
      </c>
      <c r="I1231" s="4">
        <f t="shared" si="118"/>
        <v>-1.0765349864338154</v>
      </c>
    </row>
    <row r="1232" spans="1:9" x14ac:dyDescent="0.25">
      <c r="A1232" s="3">
        <v>41963</v>
      </c>
      <c r="B1232" s="4" t="s">
        <v>0</v>
      </c>
      <c r="C1232" s="4">
        <v>533.36807590000001</v>
      </c>
      <c r="D1232" s="6">
        <f t="shared" si="114"/>
        <v>-4.0223605022611962E-3</v>
      </c>
      <c r="E1232" s="4">
        <f t="shared" si="115"/>
        <v>-5.4929559696887944E-3</v>
      </c>
      <c r="F1232" s="6">
        <f t="shared" si="116"/>
        <v>1.4705954674275983E-3</v>
      </c>
      <c r="G1232" s="4">
        <f t="shared" si="119"/>
        <v>2.1006370745660804E-2</v>
      </c>
      <c r="H1232" s="4">
        <f t="shared" si="117"/>
        <v>7.000711761365884E-2</v>
      </c>
      <c r="I1232" s="4">
        <f t="shared" si="118"/>
        <v>-0.92138903146295892</v>
      </c>
    </row>
    <row r="1233" spans="1:9" x14ac:dyDescent="0.25">
      <c r="A1233" s="3">
        <v>41964</v>
      </c>
      <c r="B1233" s="4" t="s">
        <v>0</v>
      </c>
      <c r="C1233" s="4">
        <v>536.03074660000004</v>
      </c>
      <c r="D1233" s="6">
        <f t="shared" si="114"/>
        <v>4.992182360196701E-3</v>
      </c>
      <c r="E1233" s="4">
        <f t="shared" si="115"/>
        <v>5.5552431079677184E-4</v>
      </c>
      <c r="F1233" s="6">
        <f t="shared" si="116"/>
        <v>4.436658049399929E-3</v>
      </c>
      <c r="G1233" s="4">
        <f t="shared" si="119"/>
        <v>9.7406864299298193E-3</v>
      </c>
      <c r="H1233" s="4">
        <f t="shared" si="117"/>
        <v>0.45547694008171608</v>
      </c>
      <c r="I1233" s="4">
        <f t="shared" si="118"/>
        <v>-1.0226681546777743</v>
      </c>
    </row>
    <row r="1234" spans="1:9" x14ac:dyDescent="0.25">
      <c r="A1234" s="3">
        <v>41967</v>
      </c>
      <c r="B1234" s="4" t="s">
        <v>0</v>
      </c>
      <c r="C1234" s="4">
        <v>537.79595219999999</v>
      </c>
      <c r="D1234" s="6">
        <f t="shared" si="114"/>
        <v>3.2931051272646244E-3</v>
      </c>
      <c r="E1234" s="4">
        <f t="shared" si="115"/>
        <v>-4.1568173571469272E-4</v>
      </c>
      <c r="F1234" s="6">
        <f t="shared" si="116"/>
        <v>3.7087868629793169E-3</v>
      </c>
      <c r="G1234" s="4">
        <f t="shared" si="119"/>
        <v>1.6845994756683354E-2</v>
      </c>
      <c r="H1234" s="4">
        <f t="shared" si="117"/>
        <v>0.22015837690486759</v>
      </c>
      <c r="I1234" s="4">
        <f t="shared" si="118"/>
        <v>-0.94317338866536549</v>
      </c>
    </row>
    <row r="1235" spans="1:9" x14ac:dyDescent="0.25">
      <c r="A1235" s="3">
        <v>41968</v>
      </c>
      <c r="B1235" s="4" t="s">
        <v>0</v>
      </c>
      <c r="C1235" s="4">
        <v>539.60095360000003</v>
      </c>
      <c r="D1235" s="6">
        <f t="shared" si="114"/>
        <v>3.3562941346363621E-3</v>
      </c>
      <c r="E1235" s="4">
        <f t="shared" si="115"/>
        <v>6.7661662564664376E-4</v>
      </c>
      <c r="F1235" s="6">
        <f t="shared" si="116"/>
        <v>2.6796775089897185E-3</v>
      </c>
      <c r="G1235" s="4">
        <f t="shared" si="119"/>
        <v>1.1109540654464177E-2</v>
      </c>
      <c r="H1235" s="4">
        <f t="shared" si="117"/>
        <v>0.24120506799828276</v>
      </c>
      <c r="I1235" s="4">
        <f t="shared" si="118"/>
        <v>-0.94802847561870085</v>
      </c>
    </row>
    <row r="1236" spans="1:9" x14ac:dyDescent="0.25">
      <c r="A1236" s="3">
        <v>41969</v>
      </c>
      <c r="B1236" s="4" t="s">
        <v>0</v>
      </c>
      <c r="C1236" s="4">
        <v>538.89294240000004</v>
      </c>
      <c r="D1236" s="6">
        <f t="shared" si="114"/>
        <v>-1.3121014617865701E-3</v>
      </c>
      <c r="E1236" s="4">
        <f t="shared" si="115"/>
        <v>2.7878196677420765E-3</v>
      </c>
      <c r="F1236" s="6">
        <f t="shared" si="116"/>
        <v>-4.0999211295286468E-3</v>
      </c>
      <c r="G1236" s="4">
        <f t="shared" si="119"/>
        <v>1.0560695954498907E-2</v>
      </c>
      <c r="H1236" s="4">
        <f t="shared" si="117"/>
        <v>-0.3882245211104729</v>
      </c>
      <c r="I1236" s="4">
        <f t="shared" si="118"/>
        <v>-0.99429767260040069</v>
      </c>
    </row>
    <row r="1237" spans="1:9" x14ac:dyDescent="0.25">
      <c r="A1237" s="3">
        <v>41971</v>
      </c>
      <c r="B1237" s="4" t="s">
        <v>0</v>
      </c>
      <c r="C1237" s="4">
        <v>540.34894299999996</v>
      </c>
      <c r="D1237" s="6">
        <f t="shared" si="114"/>
        <v>2.7018364603468683E-3</v>
      </c>
      <c r="E1237" s="4">
        <f t="shared" si="115"/>
        <v>2.291535982299673E-3</v>
      </c>
      <c r="F1237" s="6">
        <f t="shared" si="116"/>
        <v>4.1030047804719531E-4</v>
      </c>
      <c r="G1237" s="4">
        <f t="shared" si="119"/>
        <v>1.4803951644541563E-2</v>
      </c>
      <c r="H1237" s="4">
        <f t="shared" si="117"/>
        <v>2.7715605123479255E-2</v>
      </c>
      <c r="I1237" s="4">
        <f t="shared" si="118"/>
        <v>-0.91932261058835296</v>
      </c>
    </row>
    <row r="1238" spans="1:9" x14ac:dyDescent="0.25">
      <c r="A1238" s="3">
        <v>41974</v>
      </c>
      <c r="B1238" s="4" t="s">
        <v>0</v>
      </c>
      <c r="C1238" s="4">
        <v>532.34084919999998</v>
      </c>
      <c r="D1238" s="6">
        <f t="shared" si="114"/>
        <v>-1.4820226640102789E-2</v>
      </c>
      <c r="E1238" s="4">
        <f t="shared" si="115"/>
        <v>5.263374206535274E-4</v>
      </c>
      <c r="F1238" s="6">
        <f t="shared" si="116"/>
        <v>-1.5346564060756317E-2</v>
      </c>
      <c r="G1238" s="4">
        <f t="shared" si="119"/>
        <v>7.5914422437310643E-3</v>
      </c>
      <c r="H1238" s="4">
        <f t="shared" si="117"/>
        <v>-2.0215610641613395</v>
      </c>
      <c r="I1238" s="4">
        <f t="shared" si="118"/>
        <v>-2.9622931012712366</v>
      </c>
    </row>
    <row r="1239" spans="1:9" x14ac:dyDescent="0.25">
      <c r="A1239" s="3">
        <v>41975</v>
      </c>
      <c r="B1239" s="4" t="s">
        <v>0</v>
      </c>
      <c r="C1239" s="4">
        <v>532.29098409999995</v>
      </c>
      <c r="D1239" s="6">
        <f t="shared" si="114"/>
        <v>-9.3671376290154585E-5</v>
      </c>
      <c r="E1239" s="4">
        <f t="shared" si="115"/>
        <v>6.3072554530086561E-4</v>
      </c>
      <c r="F1239" s="6">
        <f t="shared" si="116"/>
        <v>-7.2439692159102017E-4</v>
      </c>
      <c r="G1239" s="4">
        <f t="shared" si="119"/>
        <v>6.9734183102371436E-2</v>
      </c>
      <c r="H1239" s="4">
        <f t="shared" si="117"/>
        <v>-1.0387974582387927E-2</v>
      </c>
      <c r="I1239" s="4">
        <f t="shared" si="118"/>
        <v>-0.91899248821263479</v>
      </c>
    </row>
    <row r="1240" spans="1:9" x14ac:dyDescent="0.25">
      <c r="A1240" s="3">
        <v>41976</v>
      </c>
      <c r="B1240" s="4" t="s">
        <v>0</v>
      </c>
      <c r="C1240" s="4">
        <v>529.86763240000005</v>
      </c>
      <c r="D1240" s="6">
        <f t="shared" si="114"/>
        <v>-4.5526822215433771E-3</v>
      </c>
      <c r="E1240" s="4">
        <f t="shared" si="115"/>
        <v>-4.8380231196083149E-3</v>
      </c>
      <c r="F1240" s="6">
        <f t="shared" si="116"/>
        <v>2.8534089806493777E-4</v>
      </c>
      <c r="G1240" s="4">
        <f t="shared" si="119"/>
        <v>2.7084069359417717E-2</v>
      </c>
      <c r="H1240" s="4">
        <f t="shared" si="117"/>
        <v>1.0535377615465993E-2</v>
      </c>
      <c r="I1240" s="4">
        <f t="shared" si="118"/>
        <v>-0.91899403029542293</v>
      </c>
    </row>
    <row r="1241" spans="1:9" x14ac:dyDescent="0.25">
      <c r="A1241" s="3">
        <v>41977</v>
      </c>
      <c r="B1241" s="4" t="s">
        <v>0</v>
      </c>
      <c r="C1241" s="4">
        <v>535.84129270000005</v>
      </c>
      <c r="D1241" s="6">
        <f t="shared" si="114"/>
        <v>1.127387282167569E-2</v>
      </c>
      <c r="E1241" s="4">
        <f t="shared" si="115"/>
        <v>-4.5746268673736946E-3</v>
      </c>
      <c r="F1241" s="6">
        <f t="shared" si="116"/>
        <v>1.5848499689049386E-2</v>
      </c>
      <c r="G1241" s="4">
        <f t="shared" si="119"/>
        <v>1.1480947593963267E-2</v>
      </c>
      <c r="H1241" s="4">
        <f t="shared" si="117"/>
        <v>1.3804173879674004</v>
      </c>
      <c r="I1241" s="4">
        <f t="shared" si="118"/>
        <v>-1.8717146157060429</v>
      </c>
    </row>
    <row r="1242" spans="1:9" x14ac:dyDescent="0.25">
      <c r="A1242" s="3">
        <v>41978</v>
      </c>
      <c r="B1242" s="4" t="s">
        <v>0</v>
      </c>
      <c r="C1242" s="4">
        <v>523.82420960000002</v>
      </c>
      <c r="D1242" s="6">
        <f t="shared" si="114"/>
        <v>-2.2426571568324442E-2</v>
      </c>
      <c r="E1242" s="4">
        <f t="shared" si="115"/>
        <v>-1.7688573830536051E-3</v>
      </c>
      <c r="F1242" s="6">
        <f t="shared" si="116"/>
        <v>-2.0657714185270837E-2</v>
      </c>
      <c r="G1242" s="4">
        <f t="shared" si="119"/>
        <v>4.7916336675051484E-2</v>
      </c>
      <c r="H1242" s="4">
        <f t="shared" si="117"/>
        <v>-0.43112048246431689</v>
      </c>
      <c r="I1242" s="4">
        <f t="shared" si="118"/>
        <v>-1.0118709684048053</v>
      </c>
    </row>
    <row r="1243" spans="1:9" x14ac:dyDescent="0.25">
      <c r="A1243" s="3">
        <v>41981</v>
      </c>
      <c r="B1243" s="4" t="s">
        <v>0</v>
      </c>
      <c r="C1243" s="4">
        <v>525.53948830000002</v>
      </c>
      <c r="D1243" s="6">
        <f t="shared" si="114"/>
        <v>3.2745311663044578E-3</v>
      </c>
      <c r="E1243" s="4">
        <f t="shared" si="115"/>
        <v>2.9150497412574741E-3</v>
      </c>
      <c r="F1243" s="6">
        <f t="shared" si="116"/>
        <v>3.5948142504698376E-4</v>
      </c>
      <c r="G1243" s="4">
        <f t="shared" si="119"/>
        <v>2.4062812561198563E-2</v>
      </c>
      <c r="H1243" s="4">
        <f t="shared" si="117"/>
        <v>1.4939293739363197E-2</v>
      </c>
      <c r="I1243" s="4">
        <f t="shared" si="118"/>
        <v>-0.91905012445338818</v>
      </c>
    </row>
    <row r="1244" spans="1:9" x14ac:dyDescent="0.25">
      <c r="A1244" s="3">
        <v>41982</v>
      </c>
      <c r="B1244" s="4" t="s">
        <v>0</v>
      </c>
      <c r="C1244" s="4">
        <v>531.91207540000005</v>
      </c>
      <c r="D1244" s="6">
        <f t="shared" si="114"/>
        <v>1.2125800709312812E-2</v>
      </c>
      <c r="E1244" s="4">
        <f t="shared" si="115"/>
        <v>-5.1204982420701827E-3</v>
      </c>
      <c r="F1244" s="6">
        <f t="shared" si="116"/>
        <v>1.7246298951382993E-2</v>
      </c>
      <c r="G1244" s="4">
        <f t="shared" si="119"/>
        <v>1.0460705900362707E-2</v>
      </c>
      <c r="H1244" s="4">
        <f t="shared" si="117"/>
        <v>1.6486744886676346</v>
      </c>
      <c r="I1244" s="4">
        <f t="shared" si="118"/>
        <v>-2.2780023179964157</v>
      </c>
    </row>
    <row r="1245" spans="1:9" x14ac:dyDescent="0.25">
      <c r="A1245" s="3">
        <v>41983</v>
      </c>
      <c r="B1245" s="4" t="s">
        <v>0</v>
      </c>
      <c r="C1245" s="4">
        <v>524.62200329999996</v>
      </c>
      <c r="D1245" s="6">
        <f t="shared" si="114"/>
        <v>-1.3705408162651552E-2</v>
      </c>
      <c r="E1245" s="4">
        <f t="shared" si="115"/>
        <v>-5.6161594244102265E-3</v>
      </c>
      <c r="F1245" s="6">
        <f t="shared" si="116"/>
        <v>-8.089248738241326E-3</v>
      </c>
      <c r="G1245" s="4">
        <f t="shared" si="119"/>
        <v>5.7035205840374498E-2</v>
      </c>
      <c r="H1245" s="4">
        <f t="shared" si="117"/>
        <v>-0.14182904434290741</v>
      </c>
      <c r="I1245" s="4">
        <f t="shared" si="118"/>
        <v>-0.92899627211428393</v>
      </c>
    </row>
    <row r="1246" spans="1:9" x14ac:dyDescent="0.25">
      <c r="A1246" s="3">
        <v>41984</v>
      </c>
      <c r="B1246" s="4" t="s">
        <v>0</v>
      </c>
      <c r="C1246" s="4">
        <v>526.89581750000002</v>
      </c>
      <c r="D1246" s="6">
        <f t="shared" si="114"/>
        <v>4.3341952600104774E-3</v>
      </c>
      <c r="E1246" s="4">
        <f t="shared" si="115"/>
        <v>5.637999906538931E-3</v>
      </c>
      <c r="F1246" s="6">
        <f t="shared" si="116"/>
        <v>-1.3038046465284536E-3</v>
      </c>
      <c r="G1246" s="4">
        <f t="shared" si="119"/>
        <v>2.2860438854919802E-2</v>
      </c>
      <c r="H1246" s="4">
        <f t="shared" si="117"/>
        <v>-5.7033229099530666E-2</v>
      </c>
      <c r="I1246" s="4">
        <f t="shared" si="118"/>
        <v>-0.92056492781543242</v>
      </c>
    </row>
    <row r="1247" spans="1:9" x14ac:dyDescent="0.25">
      <c r="A1247" s="3">
        <v>41985</v>
      </c>
      <c r="B1247" s="4" t="s">
        <v>0</v>
      </c>
      <c r="C1247" s="4">
        <v>517.24227029999997</v>
      </c>
      <c r="D1247" s="6">
        <f t="shared" si="114"/>
        <v>-1.8321548358087029E-2</v>
      </c>
      <c r="E1247" s="4">
        <f t="shared" si="115"/>
        <v>-1.5256527285488959E-3</v>
      </c>
      <c r="F1247" s="6">
        <f t="shared" si="116"/>
        <v>-1.6795895629538132E-2</v>
      </c>
      <c r="G1247" s="4">
        <f t="shared" si="119"/>
        <v>1.0236460787369301E-2</v>
      </c>
      <c r="H1247" s="4">
        <f t="shared" si="117"/>
        <v>-1.6407912830831601</v>
      </c>
      <c r="I1247" s="4">
        <f t="shared" si="118"/>
        <v>-2.2650365505255139</v>
      </c>
    </row>
    <row r="1248" spans="1:9" x14ac:dyDescent="0.25">
      <c r="A1248" s="3">
        <v>41988</v>
      </c>
      <c r="B1248" s="4" t="s">
        <v>0</v>
      </c>
      <c r="C1248" s="4">
        <v>512.39556900000002</v>
      </c>
      <c r="D1248" s="6">
        <f t="shared" si="114"/>
        <v>-9.3702730389549713E-3</v>
      </c>
      <c r="E1248" s="4">
        <f t="shared" si="115"/>
        <v>-2.5408052301250589E-3</v>
      </c>
      <c r="F1248" s="6">
        <f t="shared" si="116"/>
        <v>-6.8294678088299124E-3</v>
      </c>
      <c r="G1248" s="4">
        <f t="shared" si="119"/>
        <v>5.6759954911630217E-2</v>
      </c>
      <c r="H1248" s="4">
        <f t="shared" si="117"/>
        <v>-0.12032193858262812</v>
      </c>
      <c r="I1248" s="4">
        <f t="shared" si="118"/>
        <v>-0.92617721765681349</v>
      </c>
    </row>
    <row r="1249" spans="1:9" x14ac:dyDescent="0.25">
      <c r="A1249" s="3">
        <v>41989</v>
      </c>
      <c r="B1249" s="4" t="s">
        <v>0</v>
      </c>
      <c r="C1249" s="4">
        <v>494.0358665</v>
      </c>
      <c r="D1249" s="6">
        <f t="shared" si="114"/>
        <v>-3.5831110982928946E-2</v>
      </c>
      <c r="E1249" s="4">
        <f t="shared" si="115"/>
        <v>-5.676777685136262E-3</v>
      </c>
      <c r="F1249" s="6">
        <f t="shared" si="116"/>
        <v>-3.0154333297792685E-2</v>
      </c>
      <c r="G1249" s="4">
        <f t="shared" si="119"/>
        <v>2.2613539251283094E-2</v>
      </c>
      <c r="H1249" s="4">
        <f t="shared" si="117"/>
        <v>-1.3334636813245289</v>
      </c>
      <c r="I1249" s="4">
        <f t="shared" si="118"/>
        <v>-1.8080012279104551</v>
      </c>
    </row>
    <row r="1250" spans="1:9" x14ac:dyDescent="0.25">
      <c r="A1250" s="3">
        <v>41990</v>
      </c>
      <c r="B1250" s="4" t="s">
        <v>0</v>
      </c>
      <c r="C1250" s="4">
        <v>503.50990849999999</v>
      </c>
      <c r="D1250" s="6">
        <f t="shared" si="114"/>
        <v>1.917683035266023E-2</v>
      </c>
      <c r="E1250" s="4">
        <f t="shared" si="115"/>
        <v>-9.1937919838355753E-3</v>
      </c>
      <c r="F1250" s="6">
        <f t="shared" si="116"/>
        <v>2.8370622336495805E-2</v>
      </c>
      <c r="G1250" s="4">
        <f t="shared" si="119"/>
        <v>4.6911547217866827E-2</v>
      </c>
      <c r="H1250" s="4">
        <f t="shared" si="117"/>
        <v>0.60476842097611549</v>
      </c>
      <c r="I1250" s="4">
        <f t="shared" si="118"/>
        <v>-1.1018109547096446</v>
      </c>
    </row>
    <row r="1251" spans="1:9" x14ac:dyDescent="0.25">
      <c r="A1251" s="3">
        <v>41991</v>
      </c>
      <c r="B1251" s="4" t="s">
        <v>0</v>
      </c>
      <c r="C1251" s="4">
        <v>509.7029296</v>
      </c>
      <c r="D1251" s="6">
        <f t="shared" si="114"/>
        <v>1.2299700552963418E-2</v>
      </c>
      <c r="E1251" s="4">
        <f t="shared" si="115"/>
        <v>-1.6566772365617925E-2</v>
      </c>
      <c r="F1251" s="6">
        <f t="shared" si="116"/>
        <v>2.8866472918581344E-2</v>
      </c>
      <c r="G1251" s="4">
        <f t="shared" si="119"/>
        <v>2.7887563993137975E-2</v>
      </c>
      <c r="H1251" s="4">
        <f t="shared" si="117"/>
        <v>1.0351019875986385</v>
      </c>
      <c r="I1251" s="4">
        <f t="shared" si="118"/>
        <v>-1.4546565955699986</v>
      </c>
    </row>
    <row r="1252" spans="1:9" x14ac:dyDescent="0.25">
      <c r="A1252" s="3">
        <v>41992</v>
      </c>
      <c r="B1252" s="4" t="s">
        <v>0</v>
      </c>
      <c r="C1252" s="4">
        <v>514.93854920000001</v>
      </c>
      <c r="D1252" s="6">
        <f t="shared" si="114"/>
        <v>1.027190407578934E-2</v>
      </c>
      <c r="E1252" s="4">
        <f t="shared" si="115"/>
        <v>-3.642207309700763E-3</v>
      </c>
      <c r="F1252" s="6">
        <f t="shared" si="116"/>
        <v>1.3914111385490103E-2</v>
      </c>
      <c r="G1252" s="4">
        <f t="shared" si="119"/>
        <v>3.7474532842171795E-2</v>
      </c>
      <c r="H1252" s="4">
        <f t="shared" si="117"/>
        <v>0.37129512578825052</v>
      </c>
      <c r="I1252" s="4">
        <f t="shared" si="118"/>
        <v>-0.9878685684217291</v>
      </c>
    </row>
    <row r="1253" spans="1:9" x14ac:dyDescent="0.25">
      <c r="A1253" s="3">
        <v>41995</v>
      </c>
      <c r="B1253" s="4" t="s">
        <v>0</v>
      </c>
      <c r="C1253" s="4">
        <v>523.43529139999998</v>
      </c>
      <c r="D1253" s="6">
        <f t="shared" si="114"/>
        <v>1.6500497415080632E-2</v>
      </c>
      <c r="E1253" s="4">
        <f t="shared" si="115"/>
        <v>1.0575072055896783E-2</v>
      </c>
      <c r="F1253" s="6">
        <f t="shared" si="116"/>
        <v>5.9254253591838491E-3</v>
      </c>
      <c r="G1253" s="4">
        <f t="shared" si="119"/>
        <v>1.9807941906402438E-2</v>
      </c>
      <c r="H1253" s="4">
        <f t="shared" si="117"/>
        <v>0.29914391849405608</v>
      </c>
      <c r="I1253" s="4">
        <f t="shared" si="118"/>
        <v>-0.96368207519066185</v>
      </c>
    </row>
    <row r="1254" spans="1:9" x14ac:dyDescent="0.25">
      <c r="A1254" s="3">
        <v>41996</v>
      </c>
      <c r="B1254" s="4" t="s">
        <v>0</v>
      </c>
      <c r="C1254" s="4">
        <v>529.13966310000001</v>
      </c>
      <c r="D1254" s="6">
        <f t="shared" si="114"/>
        <v>1.0897950126257048E-2</v>
      </c>
      <c r="E1254" s="4">
        <f t="shared" si="115"/>
        <v>7.6938759644558687E-3</v>
      </c>
      <c r="F1254" s="6">
        <f t="shared" si="116"/>
        <v>3.2040741618011796E-3</v>
      </c>
      <c r="G1254" s="4">
        <f t="shared" si="119"/>
        <v>1.3700985733813342E-2</v>
      </c>
      <c r="H1254" s="4">
        <f t="shared" si="117"/>
        <v>0.23385720006215946</v>
      </c>
      <c r="I1254" s="4">
        <f t="shared" si="118"/>
        <v>-0.94628312821512905</v>
      </c>
    </row>
    <row r="1255" spans="1:9" x14ac:dyDescent="0.25">
      <c r="A1255" s="3">
        <v>41997</v>
      </c>
      <c r="B1255" s="4" t="s">
        <v>0</v>
      </c>
      <c r="C1255" s="4">
        <v>527.32465219999995</v>
      </c>
      <c r="D1255" s="6">
        <f t="shared" si="114"/>
        <v>-3.4301168983755606E-3</v>
      </c>
      <c r="E1255" s="4">
        <f t="shared" si="115"/>
        <v>9.4538085419590204E-3</v>
      </c>
      <c r="F1255" s="6">
        <f t="shared" si="116"/>
        <v>-1.288392544033458E-2</v>
      </c>
      <c r="G1255" s="4">
        <f t="shared" si="119"/>
        <v>1.0806124155379409E-2</v>
      </c>
      <c r="H1255" s="4">
        <f t="shared" si="117"/>
        <v>-1.1922799752324535</v>
      </c>
      <c r="I1255" s="4">
        <f t="shared" si="118"/>
        <v>-1.6297043028748228</v>
      </c>
    </row>
    <row r="1256" spans="1:9" x14ac:dyDescent="0.25">
      <c r="A1256" s="3">
        <v>41999</v>
      </c>
      <c r="B1256" s="4" t="s">
        <v>0</v>
      </c>
      <c r="C1256" s="4">
        <v>532.5702205</v>
      </c>
      <c r="D1256" s="6">
        <f t="shared" si="114"/>
        <v>9.9475119892755495E-3</v>
      </c>
      <c r="E1256" s="4">
        <f t="shared" si="115"/>
        <v>9.2193050751979075E-3</v>
      </c>
      <c r="F1256" s="6">
        <f t="shared" si="116"/>
        <v>7.2820691407764204E-4</v>
      </c>
      <c r="G1256" s="4">
        <f t="shared" si="119"/>
        <v>4.1494194006413347E-2</v>
      </c>
      <c r="H1256" s="4">
        <f t="shared" si="117"/>
        <v>1.7549609807220024E-2</v>
      </c>
      <c r="I1256" s="4">
        <f t="shared" si="118"/>
        <v>-0.91909252760686544</v>
      </c>
    </row>
    <row r="1257" spans="1:9" x14ac:dyDescent="0.25">
      <c r="A1257" s="3">
        <v>42002</v>
      </c>
      <c r="B1257" s="4" t="s">
        <v>0</v>
      </c>
      <c r="C1257" s="4">
        <v>528.88038489999997</v>
      </c>
      <c r="D1257" s="6">
        <f t="shared" si="114"/>
        <v>-6.9283550937862433E-3</v>
      </c>
      <c r="E1257" s="4">
        <f t="shared" si="115"/>
        <v>2.026457882527582E-3</v>
      </c>
      <c r="F1257" s="6">
        <f t="shared" si="116"/>
        <v>-8.9548129763138244E-3</v>
      </c>
      <c r="G1257" s="4">
        <f t="shared" si="119"/>
        <v>1.6614820015353398E-2</v>
      </c>
      <c r="H1257" s="4">
        <f t="shared" si="117"/>
        <v>-0.53896539162259205</v>
      </c>
      <c r="I1257" s="4">
        <f t="shared" si="118"/>
        <v>-1.0641803798881195</v>
      </c>
    </row>
    <row r="1258" spans="1:9" x14ac:dyDescent="0.25">
      <c r="A1258" s="3">
        <v>42003</v>
      </c>
      <c r="B1258" s="4" t="s">
        <v>0</v>
      </c>
      <c r="C1258" s="4">
        <v>528.97010660000001</v>
      </c>
      <c r="D1258" s="6">
        <f t="shared" si="114"/>
        <v>1.6964459745846965E-4</v>
      </c>
      <c r="E1258" s="4">
        <f t="shared" si="115"/>
        <v>2.7521076404700964E-3</v>
      </c>
      <c r="F1258" s="6">
        <f t="shared" si="116"/>
        <v>-2.5824630430116269E-3</v>
      </c>
      <c r="G1258" s="4">
        <f t="shared" si="119"/>
        <v>2.0206602285149217E-2</v>
      </c>
      <c r="H1258" s="4">
        <f t="shared" si="117"/>
        <v>-0.12780293324769401</v>
      </c>
      <c r="I1258" s="4">
        <f t="shared" si="118"/>
        <v>-0.92710532807802992</v>
      </c>
    </row>
    <row r="1259" spans="1:9" x14ac:dyDescent="0.25">
      <c r="A1259" s="3">
        <v>42004</v>
      </c>
      <c r="B1259" s="4" t="s">
        <v>0</v>
      </c>
      <c r="C1259" s="4">
        <v>524.96111629999996</v>
      </c>
      <c r="D1259" s="6">
        <f t="shared" si="114"/>
        <v>-7.5788598447805939E-3</v>
      </c>
      <c r="E1259" s="4">
        <f t="shared" si="115"/>
        <v>3.9788478289975093E-4</v>
      </c>
      <c r="F1259" s="6">
        <f t="shared" si="116"/>
        <v>-7.9767446276803444E-3</v>
      </c>
      <c r="G1259" s="4">
        <f t="shared" si="119"/>
        <v>1.0177860002883945E-2</v>
      </c>
      <c r="H1259" s="4">
        <f t="shared" si="117"/>
        <v>-0.78373495267375415</v>
      </c>
      <c r="I1259" s="4">
        <f t="shared" si="118"/>
        <v>-1.2260587712259385</v>
      </c>
    </row>
    <row r="1260" spans="1:9" x14ac:dyDescent="0.25">
      <c r="A1260" s="3">
        <v>42006</v>
      </c>
      <c r="B1260" s="4" t="s">
        <v>0</v>
      </c>
      <c r="C1260" s="4">
        <v>523.37547659999996</v>
      </c>
      <c r="D1260" s="6">
        <f t="shared" si="114"/>
        <v>-3.0204898053703749E-3</v>
      </c>
      <c r="E1260" s="4">
        <f t="shared" si="115"/>
        <v>-2.0571240481777179E-3</v>
      </c>
      <c r="F1260" s="6">
        <f t="shared" si="116"/>
        <v>-9.6336575719265698E-4</v>
      </c>
      <c r="G1260" s="4">
        <f t="shared" si="119"/>
        <v>2.7672919950680486E-2</v>
      </c>
      <c r="H1260" s="4">
        <f t="shared" si="117"/>
        <v>-3.4812580635133428E-2</v>
      </c>
      <c r="I1260" s="4">
        <f t="shared" si="118"/>
        <v>-0.91954449108991154</v>
      </c>
    </row>
    <row r="1261" spans="1:9" x14ac:dyDescent="0.25">
      <c r="A1261" s="3">
        <v>42009</v>
      </c>
      <c r="B1261" s="4" t="s">
        <v>0</v>
      </c>
      <c r="C1261" s="4">
        <v>512.46533239999997</v>
      </c>
      <c r="D1261" s="6">
        <f t="shared" si="114"/>
        <v>-2.0845730623214286E-2</v>
      </c>
      <c r="E1261" s="4">
        <f t="shared" si="115"/>
        <v>-2.8453469858246466E-3</v>
      </c>
      <c r="F1261" s="6">
        <f t="shared" si="116"/>
        <v>-1.8000383637389639E-2</v>
      </c>
      <c r="G1261" s="4">
        <f t="shared" si="119"/>
        <v>1.173933116383531E-2</v>
      </c>
      <c r="H1261" s="4">
        <f t="shared" si="117"/>
        <v>-1.533339794761255</v>
      </c>
      <c r="I1261" s="4">
        <f t="shared" si="118"/>
        <v>-2.0945039963039163</v>
      </c>
    </row>
    <row r="1262" spans="1:9" x14ac:dyDescent="0.25">
      <c r="A1262" s="3">
        <v>42010</v>
      </c>
      <c r="B1262" s="4" t="s">
        <v>0</v>
      </c>
      <c r="C1262" s="4">
        <v>500.58789789999997</v>
      </c>
      <c r="D1262" s="6">
        <f t="shared" si="114"/>
        <v>-2.3177049741833412E-2</v>
      </c>
      <c r="E1262" s="4">
        <f t="shared" si="115"/>
        <v>-3.4761299887636444E-3</v>
      </c>
      <c r="F1262" s="6">
        <f t="shared" si="116"/>
        <v>-1.9700919753069767E-2</v>
      </c>
      <c r="G1262" s="4">
        <f t="shared" si="119"/>
        <v>5.3136000567446898E-2</v>
      </c>
      <c r="H1262" s="4">
        <f t="shared" si="117"/>
        <v>-0.37076406847863685</v>
      </c>
      <c r="I1262" s="4">
        <f t="shared" si="118"/>
        <v>-0.98767153044208822</v>
      </c>
    </row>
    <row r="1263" spans="1:9" x14ac:dyDescent="0.25">
      <c r="A1263" s="3">
        <v>42011</v>
      </c>
      <c r="B1263" s="4" t="s">
        <v>0</v>
      </c>
      <c r="C1263" s="4">
        <v>499.73025860000001</v>
      </c>
      <c r="D1263" s="6">
        <f t="shared" si="114"/>
        <v>-1.7132641512066405E-3</v>
      </c>
      <c r="E1263" s="4">
        <f t="shared" si="115"/>
        <v>-8.8943848137615824E-3</v>
      </c>
      <c r="F1263" s="6">
        <f t="shared" si="116"/>
        <v>7.1811206625549424E-3</v>
      </c>
      <c r="G1263" s="4">
        <f t="shared" si="119"/>
        <v>2.4468029735908382E-2</v>
      </c>
      <c r="H1263" s="4">
        <f t="shared" si="117"/>
        <v>0.2934899434103676</v>
      </c>
      <c r="I1263" s="4">
        <f t="shared" si="118"/>
        <v>-0.96200670664618304</v>
      </c>
    </row>
    <row r="1264" spans="1:9" x14ac:dyDescent="0.25">
      <c r="A1264" s="3">
        <v>42012</v>
      </c>
      <c r="B1264" s="4" t="s">
        <v>0</v>
      </c>
      <c r="C1264" s="4">
        <v>501.3059495</v>
      </c>
      <c r="D1264" s="6">
        <f t="shared" si="114"/>
        <v>3.1530828339558616E-3</v>
      </c>
      <c r="E1264" s="4">
        <f t="shared" si="115"/>
        <v>-1.5244189814877167E-2</v>
      </c>
      <c r="F1264" s="6">
        <f t="shared" si="116"/>
        <v>1.8397272648833028E-2</v>
      </c>
      <c r="G1264" s="4">
        <f t="shared" si="119"/>
        <v>1.4622731291885308E-2</v>
      </c>
      <c r="H1264" s="4">
        <f t="shared" si="117"/>
        <v>1.2581283401577894</v>
      </c>
      <c r="I1264" s="4">
        <f t="shared" si="118"/>
        <v>-1.7103819933587698</v>
      </c>
    </row>
    <row r="1265" spans="1:9" x14ac:dyDescent="0.25">
      <c r="A1265" s="3">
        <v>42013</v>
      </c>
      <c r="B1265" s="4" t="s">
        <v>0</v>
      </c>
      <c r="C1265" s="4">
        <v>494.81373289999999</v>
      </c>
      <c r="D1265" s="6">
        <f t="shared" si="114"/>
        <v>-1.2950607521166085E-2</v>
      </c>
      <c r="E1265" s="4">
        <f t="shared" si="115"/>
        <v>-7.7529049704208259E-3</v>
      </c>
      <c r="F1265" s="6">
        <f t="shared" si="116"/>
        <v>-5.1977025507452595E-3</v>
      </c>
      <c r="G1265" s="4">
        <f t="shared" si="119"/>
        <v>4.3893059570715702E-2</v>
      </c>
      <c r="H1265" s="4">
        <f t="shared" si="117"/>
        <v>-0.11841741272037072</v>
      </c>
      <c r="I1265" s="4">
        <f t="shared" si="118"/>
        <v>-0.92594987502236603</v>
      </c>
    </row>
    <row r="1266" spans="1:9" x14ac:dyDescent="0.25">
      <c r="A1266" s="3">
        <v>42016</v>
      </c>
      <c r="B1266" s="4" t="s">
        <v>0</v>
      </c>
      <c r="C1266" s="4">
        <v>491.20363939999999</v>
      </c>
      <c r="D1266" s="6">
        <f t="shared" si="114"/>
        <v>-7.2958635946540947E-3</v>
      </c>
      <c r="E1266" s="4">
        <f t="shared" si="115"/>
        <v>6.8040808736351667E-4</v>
      </c>
      <c r="F1266" s="6">
        <f t="shared" si="116"/>
        <v>-7.9762716820176108E-3</v>
      </c>
      <c r="G1266" s="4">
        <f t="shared" si="119"/>
        <v>1.7947401682391752E-2</v>
      </c>
      <c r="H1266" s="4">
        <f t="shared" si="117"/>
        <v>-0.44442487125270919</v>
      </c>
      <c r="I1266" s="4">
        <f t="shared" si="118"/>
        <v>-1.0176952662986662</v>
      </c>
    </row>
    <row r="1267" spans="1:9" x14ac:dyDescent="0.25">
      <c r="A1267" s="3">
        <v>42017</v>
      </c>
      <c r="B1267" s="4" t="s">
        <v>0</v>
      </c>
      <c r="C1267" s="4">
        <v>494.8237125</v>
      </c>
      <c r="D1267" s="6">
        <f t="shared" si="114"/>
        <v>7.3698010552647655E-3</v>
      </c>
      <c r="E1267" s="4">
        <f t="shared" si="115"/>
        <v>-3.9852554310503942E-3</v>
      </c>
      <c r="F1267" s="6">
        <f t="shared" si="116"/>
        <v>1.1355056486315161E-2</v>
      </c>
      <c r="G1267" s="4">
        <f t="shared" si="119"/>
        <v>1.7468433414478405E-2</v>
      </c>
      <c r="H1267" s="4">
        <f t="shared" si="117"/>
        <v>0.65003290317400308</v>
      </c>
      <c r="I1267" s="4">
        <f t="shared" si="118"/>
        <v>-1.1302099208090841</v>
      </c>
    </row>
    <row r="1268" spans="1:9" x14ac:dyDescent="0.25">
      <c r="A1268" s="3">
        <v>42018</v>
      </c>
      <c r="B1268" s="4" t="s">
        <v>0</v>
      </c>
      <c r="C1268" s="4">
        <v>499.50088729999999</v>
      </c>
      <c r="D1268" s="6">
        <f t="shared" si="114"/>
        <v>9.4522042534491285E-3</v>
      </c>
      <c r="E1268" s="4">
        <f t="shared" si="115"/>
        <v>-6.7550618285156586E-3</v>
      </c>
      <c r="F1268" s="6">
        <f t="shared" si="116"/>
        <v>1.6207266081964787E-2</v>
      </c>
      <c r="G1268" s="4">
        <f t="shared" si="119"/>
        <v>2.3845625569364422E-2</v>
      </c>
      <c r="H1268" s="4">
        <f t="shared" si="117"/>
        <v>0.67967460257310297</v>
      </c>
      <c r="I1268" s="4">
        <f t="shared" si="118"/>
        <v>-1.1499173158961253</v>
      </c>
    </row>
    <row r="1269" spans="1:9" x14ac:dyDescent="0.25">
      <c r="A1269" s="3">
        <v>42019</v>
      </c>
      <c r="B1269" s="4" t="s">
        <v>0</v>
      </c>
      <c r="C1269" s="4">
        <v>500.41837240000001</v>
      </c>
      <c r="D1269" s="6">
        <f t="shared" si="114"/>
        <v>1.8368037441522714E-3</v>
      </c>
      <c r="E1269" s="4">
        <f t="shared" si="115"/>
        <v>5.831364586437065E-4</v>
      </c>
      <c r="F1269" s="6">
        <f t="shared" si="116"/>
        <v>1.2536672855085649E-3</v>
      </c>
      <c r="G1269" s="4">
        <f t="shared" si="119"/>
        <v>2.5565362180576607E-2</v>
      </c>
      <c r="H1269" s="4">
        <f t="shared" si="117"/>
        <v>4.9037728339363956E-2</v>
      </c>
      <c r="I1269" s="4">
        <f t="shared" si="118"/>
        <v>-0.92014088260501536</v>
      </c>
    </row>
    <row r="1270" spans="1:9" x14ac:dyDescent="0.25">
      <c r="A1270" s="3">
        <v>42020</v>
      </c>
      <c r="B1270" s="4" t="s">
        <v>0</v>
      </c>
      <c r="C1270" s="4">
        <v>506.69116739999998</v>
      </c>
      <c r="D1270" s="6">
        <f t="shared" si="114"/>
        <v>1.2535101319153672E-2</v>
      </c>
      <c r="E1270" s="4">
        <f t="shared" si="115"/>
        <v>5.8704358553839393E-3</v>
      </c>
      <c r="F1270" s="6">
        <f t="shared" si="116"/>
        <v>6.6646654637697329E-3</v>
      </c>
      <c r="G1270" s="4">
        <f t="shared" si="119"/>
        <v>1.1084715837100186E-2</v>
      </c>
      <c r="H1270" s="4">
        <f t="shared" si="117"/>
        <v>0.60124820173227289</v>
      </c>
      <c r="I1270" s="4">
        <f t="shared" si="118"/>
        <v>-1.0996882332478186</v>
      </c>
    </row>
    <row r="1271" spans="1:9" x14ac:dyDescent="0.25">
      <c r="A1271" s="3">
        <v>42024</v>
      </c>
      <c r="B1271" s="4" t="s">
        <v>0</v>
      </c>
      <c r="C1271" s="4">
        <v>505.5144042</v>
      </c>
      <c r="D1271" s="6">
        <f t="shared" si="114"/>
        <v>-2.3224466414884307E-3</v>
      </c>
      <c r="E1271" s="4">
        <f t="shared" si="115"/>
        <v>3.5971810633258403E-3</v>
      </c>
      <c r="F1271" s="6">
        <f t="shared" si="116"/>
        <v>-5.9196277048142714E-3</v>
      </c>
      <c r="G1271" s="4">
        <f t="shared" si="119"/>
        <v>2.1677430203169798E-2</v>
      </c>
      <c r="H1271" s="4">
        <f t="shared" si="117"/>
        <v>-0.2730779271035858</v>
      </c>
      <c r="I1271" s="4">
        <f t="shared" si="118"/>
        <v>-0.95622431034026834</v>
      </c>
    </row>
    <row r="1272" spans="1:9" x14ac:dyDescent="0.25">
      <c r="A1272" s="3">
        <v>42025</v>
      </c>
      <c r="B1272" s="4" t="s">
        <v>0</v>
      </c>
      <c r="C1272" s="4">
        <v>516.62398189999999</v>
      </c>
      <c r="D1272" s="6">
        <f t="shared" si="114"/>
        <v>2.1976777729175515E-2</v>
      </c>
      <c r="E1272" s="4">
        <f t="shared" si="115"/>
        <v>5.3543874806334562E-3</v>
      </c>
      <c r="F1272" s="6">
        <f t="shared" si="116"/>
        <v>1.6622390248542059E-2</v>
      </c>
      <c r="G1272" s="4">
        <f t="shared" si="119"/>
        <v>1.3468171652585502E-2</v>
      </c>
      <c r="H1272" s="4">
        <f t="shared" si="117"/>
        <v>1.2341979800466114</v>
      </c>
      <c r="I1272" s="4">
        <f t="shared" si="118"/>
        <v>-1.6805608601802406</v>
      </c>
    </row>
    <row r="1273" spans="1:9" x14ac:dyDescent="0.25">
      <c r="A1273" s="3">
        <v>42026</v>
      </c>
      <c r="B1273" s="4" t="s">
        <v>0</v>
      </c>
      <c r="C1273" s="4">
        <v>532.92923080000003</v>
      </c>
      <c r="D1273" s="6">
        <f t="shared" si="114"/>
        <v>3.1561153704157997E-2</v>
      </c>
      <c r="E1273" s="4">
        <f t="shared" si="115"/>
        <v>2.9515189626641253E-3</v>
      </c>
      <c r="F1273" s="6">
        <f t="shared" si="116"/>
        <v>2.8609634741493872E-2</v>
      </c>
      <c r="G1273" s="4">
        <f t="shared" si="119"/>
        <v>4.3027773035666732E-2</v>
      </c>
      <c r="H1273" s="4">
        <f t="shared" si="117"/>
        <v>0.6649108871560393</v>
      </c>
      <c r="I1273" s="4">
        <f t="shared" si="118"/>
        <v>-1.1399917771339882</v>
      </c>
    </row>
    <row r="1274" spans="1:9" x14ac:dyDescent="0.25">
      <c r="A1274" s="3">
        <v>42027</v>
      </c>
      <c r="B1274" s="4" t="s">
        <v>0</v>
      </c>
      <c r="C1274" s="4">
        <v>538.47405649999996</v>
      </c>
      <c r="D1274" s="6">
        <f t="shared" si="114"/>
        <v>1.0404431544646908E-2</v>
      </c>
      <c r="E1274" s="4">
        <f t="shared" si="115"/>
        <v>7.6906421932336055E-3</v>
      </c>
      <c r="F1274" s="6">
        <f t="shared" si="116"/>
        <v>2.7137893514133024E-3</v>
      </c>
      <c r="G1274" s="4">
        <f t="shared" si="119"/>
        <v>2.8584235735442623E-2</v>
      </c>
      <c r="H1274" s="4">
        <f t="shared" si="117"/>
        <v>9.494007034263216E-2</v>
      </c>
      <c r="I1274" s="4">
        <f t="shared" si="118"/>
        <v>-0.92344534168300452</v>
      </c>
    </row>
    <row r="1275" spans="1:9" x14ac:dyDescent="0.25">
      <c r="A1275" s="3">
        <v>42030</v>
      </c>
      <c r="B1275" s="4" t="s">
        <v>0</v>
      </c>
      <c r="C1275" s="4">
        <v>533.74704550000001</v>
      </c>
      <c r="D1275" s="6">
        <f t="shared" si="114"/>
        <v>-8.7785306328865779E-3</v>
      </c>
      <c r="E1275" s="4">
        <f t="shared" si="115"/>
        <v>1.8795818017430636E-2</v>
      </c>
      <c r="F1275" s="6">
        <f t="shared" si="116"/>
        <v>-2.7574348650317215E-2</v>
      </c>
      <c r="G1275" s="4">
        <f t="shared" si="119"/>
        <v>1.2429920110257361E-2</v>
      </c>
      <c r="H1275" s="4">
        <f t="shared" si="117"/>
        <v>-2.2183850262691904</v>
      </c>
      <c r="I1275" s="4">
        <f t="shared" si="118"/>
        <v>-3.3795545955923512</v>
      </c>
    </row>
    <row r="1276" spans="1:9" x14ac:dyDescent="0.25">
      <c r="A1276" s="3">
        <v>42031</v>
      </c>
      <c r="B1276" s="4" t="s">
        <v>0</v>
      </c>
      <c r="C1276" s="4">
        <v>517.21236350000004</v>
      </c>
      <c r="D1276" s="6">
        <f t="shared" si="114"/>
        <v>-3.097849840931808E-2</v>
      </c>
      <c r="E1276" s="4">
        <f t="shared" si="115"/>
        <v>1.3642895513663288E-2</v>
      </c>
      <c r="F1276" s="6">
        <f t="shared" si="116"/>
        <v>-4.4621393922981367E-2</v>
      </c>
      <c r="G1276" s="4">
        <f t="shared" si="119"/>
        <v>7.6571614530711749E-2</v>
      </c>
      <c r="H1276" s="4">
        <f t="shared" si="117"/>
        <v>-0.58274066958695747</v>
      </c>
      <c r="I1276" s="4">
        <f t="shared" si="118"/>
        <v>-1.0887318772000005</v>
      </c>
    </row>
    <row r="1277" spans="1:9" x14ac:dyDescent="0.25">
      <c r="A1277" s="3">
        <v>42032</v>
      </c>
      <c r="B1277" s="4" t="s">
        <v>0</v>
      </c>
      <c r="C1277" s="4">
        <v>508.60594040000001</v>
      </c>
      <c r="D1277" s="6">
        <f t="shared" si="114"/>
        <v>-1.6640018118979145E-2</v>
      </c>
      <c r="E1277" s="4">
        <f t="shared" si="115"/>
        <v>-1.7008921652017853E-4</v>
      </c>
      <c r="F1277" s="6">
        <f t="shared" si="116"/>
        <v>-1.6469928902458967E-2</v>
      </c>
      <c r="G1277" s="4">
        <f t="shared" si="119"/>
        <v>3.5784331263731914E-2</v>
      </c>
      <c r="H1277" s="4">
        <f t="shared" si="117"/>
        <v>-0.46025532183555284</v>
      </c>
      <c r="I1277" s="4">
        <f t="shared" si="118"/>
        <v>-1.0248560138436469</v>
      </c>
    </row>
    <row r="1278" spans="1:9" x14ac:dyDescent="0.25">
      <c r="A1278" s="3">
        <v>42033</v>
      </c>
      <c r="B1278" s="4" t="s">
        <v>0</v>
      </c>
      <c r="C1278" s="4">
        <v>509.26411539999998</v>
      </c>
      <c r="D1278" s="6">
        <f t="shared" si="114"/>
        <v>1.2940765093745088E-3</v>
      </c>
      <c r="E1278" s="4">
        <f t="shared" si="115"/>
        <v>-1.4531213350637274E-2</v>
      </c>
      <c r="F1278" s="6">
        <f t="shared" si="116"/>
        <v>1.5825289860011783E-2</v>
      </c>
      <c r="G1278" s="4">
        <f t="shared" si="119"/>
        <v>2.1488002307086706E-2</v>
      </c>
      <c r="H1278" s="4">
        <f t="shared" si="117"/>
        <v>0.736470968024451</v>
      </c>
      <c r="I1278" s="4">
        <f t="shared" si="118"/>
        <v>-1.1901332765761086</v>
      </c>
    </row>
    <row r="1279" spans="1:9" x14ac:dyDescent="0.25">
      <c r="A1279" s="3">
        <v>42034</v>
      </c>
      <c r="B1279" s="4" t="s">
        <v>0</v>
      </c>
      <c r="C1279" s="4">
        <v>533.05893170000002</v>
      </c>
      <c r="D1279" s="6">
        <f t="shared" si="114"/>
        <v>4.672392100768865E-2</v>
      </c>
      <c r="E1279" s="4">
        <f t="shared" si="115"/>
        <v>-1.5848340885360884E-2</v>
      </c>
      <c r="F1279" s="6">
        <f t="shared" si="116"/>
        <v>6.2572261893049541E-2</v>
      </c>
      <c r="G1279" s="4">
        <f t="shared" si="119"/>
        <v>2.7075215330471605E-2</v>
      </c>
      <c r="H1279" s="4">
        <f t="shared" si="117"/>
        <v>2.3110531580012235</v>
      </c>
      <c r="I1279" s="4">
        <f t="shared" si="118"/>
        <v>-3.5894218827583866</v>
      </c>
    </row>
    <row r="1280" spans="1:9" x14ac:dyDescent="0.25">
      <c r="A1280" s="3">
        <v>42037</v>
      </c>
      <c r="B1280" s="4" t="s">
        <v>0</v>
      </c>
      <c r="C1280" s="4">
        <v>527.03540529999998</v>
      </c>
      <c r="D1280" s="6">
        <f t="shared" si="114"/>
        <v>-1.1299925846454093E-2</v>
      </c>
      <c r="E1280" s="4">
        <f t="shared" si="115"/>
        <v>-4.6004093187226791E-3</v>
      </c>
      <c r="F1280" s="6">
        <f t="shared" si="116"/>
        <v>-6.6995165277314141E-3</v>
      </c>
      <c r="G1280" s="4">
        <f t="shared" si="119"/>
        <v>8.027181929840646E-2</v>
      </c>
      <c r="H1280" s="4">
        <f t="shared" si="117"/>
        <v>-8.3460379823039735E-2</v>
      </c>
      <c r="I1280" s="4">
        <f t="shared" si="118"/>
        <v>-0.9224213507047756</v>
      </c>
    </row>
    <row r="1281" spans="1:9" x14ac:dyDescent="0.25">
      <c r="A1281" s="3">
        <v>42038</v>
      </c>
      <c r="B1281" s="4" t="s">
        <v>0</v>
      </c>
      <c r="C1281" s="4">
        <v>527.79334340000003</v>
      </c>
      <c r="D1281" s="6">
        <f t="shared" si="114"/>
        <v>1.4381160969036072E-3</v>
      </c>
      <c r="E1281" s="4">
        <f t="shared" si="115"/>
        <v>1.8257671741636651E-2</v>
      </c>
      <c r="F1281" s="6">
        <f t="shared" si="116"/>
        <v>-1.6819555644733045E-2</v>
      </c>
      <c r="G1281" s="4">
        <f t="shared" si="119"/>
        <v>3.1176882561652238E-2</v>
      </c>
      <c r="H1281" s="4">
        <f t="shared" si="117"/>
        <v>-0.53948805213197304</v>
      </c>
      <c r="I1281" s="4">
        <f t="shared" si="118"/>
        <v>-1.0644622124012479</v>
      </c>
    </row>
    <row r="1282" spans="1:9" x14ac:dyDescent="0.25">
      <c r="A1282" s="3">
        <v>42039</v>
      </c>
      <c r="B1282" s="4" t="s">
        <v>0</v>
      </c>
      <c r="C1282" s="4">
        <v>521.33103459999995</v>
      </c>
      <c r="D1282" s="6">
        <f t="shared" si="114"/>
        <v>-1.2244013458696594E-2</v>
      </c>
      <c r="E1282" s="4">
        <f t="shared" si="115"/>
        <v>9.9896061229854914E-3</v>
      </c>
      <c r="F1282" s="6">
        <f t="shared" si="116"/>
        <v>-2.2233619581682088E-2</v>
      </c>
      <c r="G1282" s="4">
        <f t="shared" si="119"/>
        <v>2.2591784217268936E-2</v>
      </c>
      <c r="H1282" s="4">
        <f t="shared" si="117"/>
        <v>-0.98414624395566463</v>
      </c>
      <c r="I1282" s="4">
        <f t="shared" si="118"/>
        <v>-1.4032104479506939</v>
      </c>
    </row>
    <row r="1283" spans="1:9" x14ac:dyDescent="0.25">
      <c r="A1283" s="3">
        <v>42040</v>
      </c>
      <c r="B1283" s="4" t="s">
        <v>0</v>
      </c>
      <c r="C1283" s="4">
        <v>526.13787950000005</v>
      </c>
      <c r="D1283" s="6">
        <f t="shared" si="114"/>
        <v>9.2203313844306887E-3</v>
      </c>
      <c r="E1283" s="4">
        <f t="shared" si="115"/>
        <v>-2.911110273488299E-3</v>
      </c>
      <c r="F1283" s="6">
        <f t="shared" si="116"/>
        <v>1.2131441657918988E-2</v>
      </c>
      <c r="G1283" s="4">
        <f t="shared" si="119"/>
        <v>3.5267358157555079E-2</v>
      </c>
      <c r="H1283" s="4">
        <f t="shared" si="117"/>
        <v>0.34398498474772071</v>
      </c>
      <c r="I1283" s="4">
        <f t="shared" si="118"/>
        <v>-0.97810136807061754</v>
      </c>
    </row>
    <row r="1284" spans="1:9" x14ac:dyDescent="0.25">
      <c r="A1284" s="3">
        <v>42041</v>
      </c>
      <c r="B1284" s="4" t="s">
        <v>0</v>
      </c>
      <c r="C1284" s="4">
        <v>529.54853949999995</v>
      </c>
      <c r="D1284" s="6">
        <f t="shared" ref="D1284:D1347" si="120">(C1284-C1283)/C1283</f>
        <v>6.4824452541624939E-3</v>
      </c>
      <c r="E1284" s="4">
        <f t="shared" si="115"/>
        <v>-4.240021236690197E-3</v>
      </c>
      <c r="F1284" s="6">
        <f t="shared" si="116"/>
        <v>1.0722466490852692E-2</v>
      </c>
      <c r="G1284" s="4">
        <f t="shared" si="119"/>
        <v>1.8597641691421765E-2</v>
      </c>
      <c r="H1284" s="4">
        <f t="shared" si="117"/>
        <v>0.57654979425689612</v>
      </c>
      <c r="I1284" s="4">
        <f t="shared" si="118"/>
        <v>-1.0851433658335072</v>
      </c>
    </row>
    <row r="1285" spans="1:9" x14ac:dyDescent="0.25">
      <c r="A1285" s="3">
        <v>42044</v>
      </c>
      <c r="B1285" s="4" t="s">
        <v>0</v>
      </c>
      <c r="C1285" s="4">
        <v>526.38720990000002</v>
      </c>
      <c r="D1285" s="6">
        <f t="shared" si="120"/>
        <v>-5.969858028472442E-3</v>
      </c>
      <c r="E1285" s="4">
        <f t="shared" si="115"/>
        <v>-2.2488549306036139E-4</v>
      </c>
      <c r="F1285" s="6">
        <f t="shared" si="116"/>
        <v>-5.7449725354120802E-3</v>
      </c>
      <c r="G1285" s="4">
        <f t="shared" si="119"/>
        <v>2.163398528135094E-2</v>
      </c>
      <c r="H1285" s="4">
        <f t="shared" si="117"/>
        <v>-0.26555313136708086</v>
      </c>
      <c r="I1285" s="4">
        <f t="shared" si="118"/>
        <v>-0.95419776599410377</v>
      </c>
    </row>
    <row r="1286" spans="1:9" x14ac:dyDescent="0.25">
      <c r="A1286" s="3">
        <v>42045</v>
      </c>
      <c r="B1286" s="4" t="s">
        <v>0</v>
      </c>
      <c r="C1286" s="4">
        <v>535.47227290000001</v>
      </c>
      <c r="D1286" s="6">
        <f t="shared" si="120"/>
        <v>1.725927763656324E-2</v>
      </c>
      <c r="E1286" s="4">
        <f t="shared" si="115"/>
        <v>5.3017315823964822E-3</v>
      </c>
      <c r="F1286" s="6">
        <f t="shared" si="116"/>
        <v>1.1957546054166757E-2</v>
      </c>
      <c r="G1286" s="4">
        <f t="shared" si="119"/>
        <v>1.3278836743228405E-2</v>
      </c>
      <c r="H1286" s="4">
        <f t="shared" si="117"/>
        <v>0.900496503224543</v>
      </c>
      <c r="I1286" s="4">
        <f t="shared" si="118"/>
        <v>-1.3243855093644872</v>
      </c>
    </row>
    <row r="1287" spans="1:9" x14ac:dyDescent="0.25">
      <c r="A1287" s="3">
        <v>42046</v>
      </c>
      <c r="B1287" s="4" t="s">
        <v>0</v>
      </c>
      <c r="C1287" s="4">
        <v>534.50492169999995</v>
      </c>
      <c r="D1287" s="6">
        <f t="shared" si="120"/>
        <v>-1.8065383568062106E-3</v>
      </c>
      <c r="E1287" s="4">
        <f t="shared" ref="E1287:E1350" si="121">+$M$16*D1286+$M$17*D1285+$M$18*D1284</f>
        <v>-2.9654426699878304E-4</v>
      </c>
      <c r="F1287" s="6">
        <f t="shared" ref="F1287:F1350" si="122">D1287-E1287</f>
        <v>-1.5099940898074275E-3</v>
      </c>
      <c r="G1287" s="4">
        <f t="shared" si="119"/>
        <v>3.1761538134140198E-2</v>
      </c>
      <c r="H1287" s="4">
        <f t="shared" ref="H1287:H1350" si="123">F1287/G1287</f>
        <v>-4.7541592080024238E-2</v>
      </c>
      <c r="I1287" s="4">
        <f t="shared" ref="I1287:I1350" si="124">LN(_xlfn.NORM.DIST(H1287,0,1,FALSE))</f>
        <v>-0.92006863469342437</v>
      </c>
    </row>
    <row r="1288" spans="1:9" x14ac:dyDescent="0.25">
      <c r="A1288" s="3">
        <v>42047</v>
      </c>
      <c r="B1288" s="4" t="s">
        <v>0</v>
      </c>
      <c r="C1288" s="4">
        <v>541.44593220000002</v>
      </c>
      <c r="D1288" s="6">
        <f t="shared" si="120"/>
        <v>1.2985868264644011E-2</v>
      </c>
      <c r="E1288" s="4">
        <f t="shared" si="121"/>
        <v>4.7695447863221442E-3</v>
      </c>
      <c r="F1288" s="6">
        <f t="shared" si="122"/>
        <v>8.2163234783218658E-3</v>
      </c>
      <c r="G1288" s="4">
        <f t="shared" ref="G1288:G1351" si="125">SQRT($M$12 + $M$13 *H1287^2+$M$14*G1287^2)</f>
        <v>1.3208418677177753E-2</v>
      </c>
      <c r="H1288" s="4">
        <f t="shared" si="123"/>
        <v>0.62205201690937395</v>
      </c>
      <c r="I1288" s="4">
        <f t="shared" si="124"/>
        <v>-1.1124128890751828</v>
      </c>
    </row>
    <row r="1289" spans="1:9" x14ac:dyDescent="0.25">
      <c r="A1289" s="3">
        <v>42048</v>
      </c>
      <c r="B1289" s="4" t="s">
        <v>0</v>
      </c>
      <c r="C1289" s="4">
        <v>547.50931419999995</v>
      </c>
      <c r="D1289" s="6">
        <f t="shared" si="120"/>
        <v>1.119849949811837E-2</v>
      </c>
      <c r="E1289" s="4">
        <f t="shared" si="121"/>
        <v>4.5953496061050137E-3</v>
      </c>
      <c r="F1289" s="6">
        <f t="shared" si="122"/>
        <v>6.6031498920133564E-3</v>
      </c>
      <c r="G1289" s="4">
        <f t="shared" si="125"/>
        <v>2.2527873047516855E-2</v>
      </c>
      <c r="H1289" s="4">
        <f t="shared" si="123"/>
        <v>0.29311022297070299</v>
      </c>
      <c r="I1289" s="4">
        <f t="shared" si="124"/>
        <v>-0.96189533460964027</v>
      </c>
    </row>
    <row r="1290" spans="1:9" x14ac:dyDescent="0.25">
      <c r="A1290" s="3">
        <v>42052</v>
      </c>
      <c r="B1290" s="4" t="s">
        <v>0</v>
      </c>
      <c r="C1290" s="4">
        <v>541.35614969999995</v>
      </c>
      <c r="D1290" s="6">
        <f t="shared" si="120"/>
        <v>-1.1238465429562191E-2</v>
      </c>
      <c r="E1290" s="4">
        <f t="shared" si="121"/>
        <v>4.4111951585777721E-3</v>
      </c>
      <c r="F1290" s="6">
        <f t="shared" si="122"/>
        <v>-1.5649660588139963E-2</v>
      </c>
      <c r="G1290" s="4">
        <f t="shared" si="125"/>
        <v>1.4151820688459648E-2</v>
      </c>
      <c r="H1290" s="4">
        <f t="shared" si="123"/>
        <v>-1.1058407912772492</v>
      </c>
      <c r="I1290" s="4">
        <f t="shared" si="124"/>
        <v>-1.530380461031019</v>
      </c>
    </row>
    <row r="1291" spans="1:9" x14ac:dyDescent="0.25">
      <c r="A1291" s="3">
        <v>42053</v>
      </c>
      <c r="B1291" s="4" t="s">
        <v>0</v>
      </c>
      <c r="C1291" s="4">
        <v>538.22472600000003</v>
      </c>
      <c r="D1291" s="6">
        <f t="shared" si="120"/>
        <v>-5.7844058883144414E-3</v>
      </c>
      <c r="E1291" s="4">
        <f t="shared" si="121"/>
        <v>8.2576797336338919E-3</v>
      </c>
      <c r="F1291" s="6">
        <f t="shared" si="122"/>
        <v>-1.4042085621948332E-2</v>
      </c>
      <c r="G1291" s="4">
        <f t="shared" si="125"/>
        <v>3.8719174889379898E-2</v>
      </c>
      <c r="H1291" s="4">
        <f t="shared" si="123"/>
        <v>-0.36266489825948928</v>
      </c>
      <c r="I1291" s="4">
        <f t="shared" si="124"/>
        <v>-0.98470144741945553</v>
      </c>
    </row>
    <row r="1292" spans="1:9" x14ac:dyDescent="0.25">
      <c r="A1292" s="3">
        <v>42054</v>
      </c>
      <c r="B1292" s="4" t="s">
        <v>0</v>
      </c>
      <c r="C1292" s="4">
        <v>541.38605659999996</v>
      </c>
      <c r="D1292" s="6">
        <f t="shared" si="120"/>
        <v>5.8736257315683566E-3</v>
      </c>
      <c r="E1292" s="4">
        <f t="shared" si="121"/>
        <v>-8.6678221229665679E-4</v>
      </c>
      <c r="F1292" s="6">
        <f t="shared" si="122"/>
        <v>6.7404079438650134E-3</v>
      </c>
      <c r="G1292" s="4">
        <f t="shared" si="125"/>
        <v>1.9967180641094904E-2</v>
      </c>
      <c r="H1292" s="4">
        <f t="shared" si="123"/>
        <v>0.33757434587397023</v>
      </c>
      <c r="I1292" s="4">
        <f t="shared" si="124"/>
        <v>-0.97591675270079214</v>
      </c>
    </row>
    <row r="1293" spans="1:9" x14ac:dyDescent="0.25">
      <c r="A1293" s="3">
        <v>42055</v>
      </c>
      <c r="B1293" s="4" t="s">
        <v>0</v>
      </c>
      <c r="C1293" s="4">
        <v>537.47679849999997</v>
      </c>
      <c r="D1293" s="6">
        <f t="shared" si="120"/>
        <v>-7.2208326245984597E-3</v>
      </c>
      <c r="E1293" s="4">
        <f t="shared" si="121"/>
        <v>-5.6529455803748744E-3</v>
      </c>
      <c r="F1293" s="6">
        <f t="shared" si="122"/>
        <v>-1.5678870442235853E-3</v>
      </c>
      <c r="G1293" s="4">
        <f t="shared" si="125"/>
        <v>1.4749842959076534E-2</v>
      </c>
      <c r="H1293" s="4">
        <f t="shared" si="123"/>
        <v>-0.10629855847100818</v>
      </c>
      <c r="I1293" s="4">
        <f t="shared" si="124"/>
        <v>-0.92458822497117987</v>
      </c>
    </row>
    <row r="1294" spans="1:9" x14ac:dyDescent="0.25">
      <c r="A1294" s="3">
        <v>42058</v>
      </c>
      <c r="B1294" s="4" t="s">
        <v>0</v>
      </c>
      <c r="C1294" s="4">
        <v>530.45601399999998</v>
      </c>
      <c r="D1294" s="6">
        <f t="shared" si="120"/>
        <v>-1.3062488501073393E-2</v>
      </c>
      <c r="E1294" s="4">
        <f t="shared" si="121"/>
        <v>4.737335301107004E-4</v>
      </c>
      <c r="F1294" s="6">
        <f t="shared" si="122"/>
        <v>-1.3536222031184094E-2</v>
      </c>
      <c r="G1294" s="4">
        <f t="shared" si="125"/>
        <v>8.3571987589334887E-3</v>
      </c>
      <c r="H1294" s="4">
        <f t="shared" si="123"/>
        <v>-1.6197080411321378</v>
      </c>
      <c r="I1294" s="4">
        <f t="shared" si="124"/>
        <v>-2.2306656024587261</v>
      </c>
    </row>
    <row r="1295" spans="1:9" x14ac:dyDescent="0.25">
      <c r="A1295" s="3">
        <v>42059</v>
      </c>
      <c r="B1295" s="4" t="s">
        <v>0</v>
      </c>
      <c r="C1295" s="4">
        <v>534.62461210000004</v>
      </c>
      <c r="D1295" s="6">
        <f t="shared" si="120"/>
        <v>7.858517935475897E-3</v>
      </c>
      <c r="E1295" s="4">
        <f t="shared" si="121"/>
        <v>-9.6182462150285765E-4</v>
      </c>
      <c r="F1295" s="6">
        <f t="shared" si="122"/>
        <v>8.8203425569787549E-3</v>
      </c>
      <c r="G1295" s="4">
        <f t="shared" si="125"/>
        <v>5.5994297799265194E-2</v>
      </c>
      <c r="H1295" s="4">
        <f t="shared" si="123"/>
        <v>0.15752215678458786</v>
      </c>
      <c r="I1295" s="4">
        <f t="shared" si="124"/>
        <v>-0.93134514814370672</v>
      </c>
    </row>
    <row r="1296" spans="1:9" x14ac:dyDescent="0.25">
      <c r="A1296" s="3">
        <v>42060</v>
      </c>
      <c r="B1296" s="4" t="s">
        <v>0</v>
      </c>
      <c r="C1296" s="4">
        <v>542.38337539999998</v>
      </c>
      <c r="D1296" s="6">
        <f t="shared" si="120"/>
        <v>1.4512544174731497E-2</v>
      </c>
      <c r="E1296" s="4">
        <f t="shared" si="121"/>
        <v>-7.2047566722759325E-3</v>
      </c>
      <c r="F1296" s="6">
        <f t="shared" si="122"/>
        <v>2.1717300847007431E-2</v>
      </c>
      <c r="G1296" s="4">
        <f t="shared" si="125"/>
        <v>2.2605454856177473E-2</v>
      </c>
      <c r="H1296" s="4">
        <f t="shared" si="123"/>
        <v>0.96071063312723681</v>
      </c>
      <c r="I1296" s="4">
        <f t="shared" si="124"/>
        <v>-1.3804209935065408</v>
      </c>
    </row>
    <row r="1297" spans="1:9" x14ac:dyDescent="0.25">
      <c r="A1297" s="3">
        <v>42061</v>
      </c>
      <c r="B1297" s="4" t="s">
        <v>0</v>
      </c>
      <c r="C1297" s="4">
        <v>553.96161440000003</v>
      </c>
      <c r="D1297" s="6">
        <f t="shared" si="120"/>
        <v>2.134696512676346E-2</v>
      </c>
      <c r="E1297" s="4">
        <f t="shared" si="121"/>
        <v>-9.9597766151491218E-4</v>
      </c>
      <c r="F1297" s="6">
        <f t="shared" si="122"/>
        <v>2.2342942788278371E-2</v>
      </c>
      <c r="G1297" s="4">
        <f t="shared" si="125"/>
        <v>3.4496542448141827E-2</v>
      </c>
      <c r="H1297" s="4">
        <f t="shared" si="123"/>
        <v>0.64768644051403723</v>
      </c>
      <c r="I1297" s="4">
        <f t="shared" si="124"/>
        <v>-1.1286873958175443</v>
      </c>
    </row>
    <row r="1298" spans="1:9" x14ac:dyDescent="0.25">
      <c r="A1298" s="3">
        <v>42062</v>
      </c>
      <c r="B1298" s="4" t="s">
        <v>0</v>
      </c>
      <c r="C1298" s="4">
        <v>556.87361450000003</v>
      </c>
      <c r="D1298" s="6">
        <f t="shared" si="120"/>
        <v>5.2566820954805856E-3</v>
      </c>
      <c r="E1298" s="4">
        <f t="shared" si="121"/>
        <v>7.9549594709603377E-3</v>
      </c>
      <c r="F1298" s="6">
        <f t="shared" si="122"/>
        <v>-2.6982773754797521E-3</v>
      </c>
      <c r="G1298" s="4">
        <f t="shared" si="125"/>
        <v>2.6343140861253243E-2</v>
      </c>
      <c r="H1298" s="4">
        <f t="shared" si="123"/>
        <v>-0.10242808136248127</v>
      </c>
      <c r="I1298" s="4">
        <f t="shared" si="124"/>
        <v>-0.92418428913047224</v>
      </c>
    </row>
    <row r="1299" spans="1:9" x14ac:dyDescent="0.25">
      <c r="A1299" s="3">
        <v>42065</v>
      </c>
      <c r="B1299" s="4" t="s">
        <v>0</v>
      </c>
      <c r="C1299" s="4">
        <v>569.7782747</v>
      </c>
      <c r="D1299" s="6">
        <f t="shared" si="120"/>
        <v>2.3173409305065874E-2</v>
      </c>
      <c r="E1299" s="4">
        <f t="shared" si="121"/>
        <v>1.2605105010011067E-2</v>
      </c>
      <c r="F1299" s="6">
        <f t="shared" si="122"/>
        <v>1.0568304295054808E-2</v>
      </c>
      <c r="G1299" s="4">
        <f t="shared" si="125"/>
        <v>1.1760581235888639E-2</v>
      </c>
      <c r="H1299" s="4">
        <f t="shared" si="123"/>
        <v>0.89862091703465519</v>
      </c>
      <c r="I1299" s="4">
        <f t="shared" si="124"/>
        <v>-1.3226983094707749</v>
      </c>
    </row>
    <row r="1300" spans="1:9" x14ac:dyDescent="0.25">
      <c r="A1300" s="3">
        <v>42066</v>
      </c>
      <c r="B1300" s="4" t="s">
        <v>0</v>
      </c>
      <c r="C1300" s="4">
        <v>572.07198640000001</v>
      </c>
      <c r="D1300" s="6">
        <f t="shared" si="120"/>
        <v>4.0256215476234215E-3</v>
      </c>
      <c r="E1300" s="4">
        <f t="shared" si="121"/>
        <v>8.5475390802139083E-3</v>
      </c>
      <c r="F1300" s="6">
        <f t="shared" si="122"/>
        <v>-4.5219175325904868E-3</v>
      </c>
      <c r="G1300" s="4">
        <f t="shared" si="125"/>
        <v>3.1611193786680689E-2</v>
      </c>
      <c r="H1300" s="4">
        <f t="shared" si="123"/>
        <v>-0.1430479836701323</v>
      </c>
      <c r="I1300" s="4">
        <f t="shared" si="124"/>
        <v>-0.92916989602071787</v>
      </c>
    </row>
    <row r="1301" spans="1:9" x14ac:dyDescent="0.25">
      <c r="A1301" s="3">
        <v>42067</v>
      </c>
      <c r="B1301" s="4" t="s">
        <v>0</v>
      </c>
      <c r="C1301" s="4">
        <v>571.80269869999995</v>
      </c>
      <c r="D1301" s="6">
        <f t="shared" si="120"/>
        <v>-4.7072345159683126E-4</v>
      </c>
      <c r="E1301" s="4">
        <f t="shared" si="121"/>
        <v>1.0468663802526368E-2</v>
      </c>
      <c r="F1301" s="6">
        <f t="shared" si="122"/>
        <v>-1.09393872541232E-2</v>
      </c>
      <c r="G1301" s="4">
        <f t="shared" si="125"/>
        <v>1.3949395929209548E-2</v>
      </c>
      <c r="H1301" s="4">
        <f t="shared" si="123"/>
        <v>-0.78421942495850339</v>
      </c>
      <c r="I1301" s="4">
        <f t="shared" si="124"/>
        <v>-1.2264385864457954</v>
      </c>
    </row>
    <row r="1302" spans="1:9" x14ac:dyDescent="0.25">
      <c r="A1302" s="3">
        <v>42068</v>
      </c>
      <c r="B1302" s="4" t="s">
        <v>0</v>
      </c>
      <c r="C1302" s="4">
        <v>573.7573582</v>
      </c>
      <c r="D1302" s="6">
        <f t="shared" si="120"/>
        <v>3.4184160103546014E-3</v>
      </c>
      <c r="E1302" s="4">
        <f t="shared" si="121"/>
        <v>8.6358099015961913E-3</v>
      </c>
      <c r="F1302" s="6">
        <f t="shared" si="122"/>
        <v>-5.2173938912415899E-3</v>
      </c>
      <c r="G1302" s="4">
        <f t="shared" si="125"/>
        <v>2.7927560275835168E-2</v>
      </c>
      <c r="H1302" s="4">
        <f t="shared" si="123"/>
        <v>-0.18681882125435911</v>
      </c>
      <c r="I1302" s="4">
        <f t="shared" si="124"/>
        <v>-0.93638916919210669</v>
      </c>
    </row>
    <row r="1303" spans="1:9" x14ac:dyDescent="0.25">
      <c r="A1303" s="3">
        <v>42069</v>
      </c>
      <c r="B1303" s="4" t="s">
        <v>0</v>
      </c>
      <c r="C1303" s="4">
        <v>566.13323920000005</v>
      </c>
      <c r="D1303" s="6">
        <f t="shared" si="120"/>
        <v>-1.3288054420632528E-2</v>
      </c>
      <c r="E1303" s="4">
        <f t="shared" si="121"/>
        <v>1.0529760803243558E-3</v>
      </c>
      <c r="F1303" s="6">
        <f t="shared" si="122"/>
        <v>-1.4341030500956883E-2</v>
      </c>
      <c r="G1303" s="4">
        <f t="shared" si="125"/>
        <v>1.340481809321796E-2</v>
      </c>
      <c r="H1303" s="4">
        <f t="shared" si="123"/>
        <v>-1.0698414854441471</v>
      </c>
      <c r="I1303" s="4">
        <f t="shared" si="124"/>
        <v>-1.4912189351933423</v>
      </c>
    </row>
    <row r="1304" spans="1:9" x14ac:dyDescent="0.25">
      <c r="A1304" s="3">
        <v>42072</v>
      </c>
      <c r="B1304" s="4" t="s">
        <v>0</v>
      </c>
      <c r="C1304" s="4">
        <v>567.29504840000004</v>
      </c>
      <c r="D1304" s="6">
        <f t="shared" si="120"/>
        <v>2.0521833369857244E-3</v>
      </c>
      <c r="E1304" s="4">
        <f t="shared" si="121"/>
        <v>1.162363535261298E-3</v>
      </c>
      <c r="F1304" s="6">
        <f t="shared" si="122"/>
        <v>8.8981980172442646E-4</v>
      </c>
      <c r="G1304" s="4">
        <f t="shared" si="125"/>
        <v>3.74648184957165E-2</v>
      </c>
      <c r="H1304" s="4">
        <f t="shared" si="123"/>
        <v>2.3750810425684114E-2</v>
      </c>
      <c r="I1304" s="4">
        <f t="shared" si="124"/>
        <v>-0.91922058370261117</v>
      </c>
    </row>
    <row r="1305" spans="1:9" x14ac:dyDescent="0.25">
      <c r="A1305" s="3">
        <v>42073</v>
      </c>
      <c r="B1305" s="4" t="s">
        <v>0</v>
      </c>
      <c r="C1305" s="4">
        <v>553.49292319999995</v>
      </c>
      <c r="D1305" s="6">
        <f t="shared" si="120"/>
        <v>-2.4329712094134488E-2</v>
      </c>
      <c r="E1305" s="4">
        <f t="shared" si="121"/>
        <v>-4.0328085331631869E-3</v>
      </c>
      <c r="F1305" s="6">
        <f t="shared" si="122"/>
        <v>-2.0296903560971302E-2</v>
      </c>
      <c r="G1305" s="4">
        <f t="shared" si="125"/>
        <v>1.5165490951316819E-2</v>
      </c>
      <c r="H1305" s="4">
        <f t="shared" si="123"/>
        <v>-1.3383611269906777</v>
      </c>
      <c r="I1305" s="4">
        <f t="shared" si="124"/>
        <v>-1.814543786324551</v>
      </c>
    </row>
    <row r="1306" spans="1:9" x14ac:dyDescent="0.25">
      <c r="A1306" s="3">
        <v>42074</v>
      </c>
      <c r="B1306" s="4" t="s">
        <v>0</v>
      </c>
      <c r="C1306" s="4">
        <v>549.67338670000004</v>
      </c>
      <c r="D1306" s="6">
        <f t="shared" si="120"/>
        <v>-6.9007865139763605E-3</v>
      </c>
      <c r="E1306" s="4">
        <f t="shared" si="121"/>
        <v>-3.2854756191203283E-3</v>
      </c>
      <c r="F1306" s="6">
        <f t="shared" si="122"/>
        <v>-3.6153108948560322E-3</v>
      </c>
      <c r="G1306" s="4">
        <f t="shared" si="125"/>
        <v>4.6638541017278157E-2</v>
      </c>
      <c r="H1306" s="4">
        <f t="shared" si="123"/>
        <v>-7.7517667062455275E-2</v>
      </c>
      <c r="I1306" s="4">
        <f t="shared" si="124"/>
        <v>-0.92194302755807545</v>
      </c>
    </row>
    <row r="1307" spans="1:9" x14ac:dyDescent="0.25">
      <c r="A1307" s="3">
        <v>42075</v>
      </c>
      <c r="B1307" s="4" t="s">
        <v>0</v>
      </c>
      <c r="C1307" s="4">
        <v>553.99152130000004</v>
      </c>
      <c r="D1307" s="6">
        <f t="shared" si="120"/>
        <v>7.8558189362672431E-3</v>
      </c>
      <c r="E1307" s="4">
        <f t="shared" si="121"/>
        <v>-8.6723956244986727E-3</v>
      </c>
      <c r="F1307" s="6">
        <f t="shared" si="122"/>
        <v>1.6528214560765916E-2</v>
      </c>
      <c r="G1307" s="4">
        <f t="shared" si="125"/>
        <v>1.8677759073792991E-2</v>
      </c>
      <c r="H1307" s="4">
        <f t="shared" si="123"/>
        <v>0.88491421778519841</v>
      </c>
      <c r="I1307" s="4">
        <f t="shared" si="124"/>
        <v>-1.3104751196238675</v>
      </c>
    </row>
    <row r="1308" spans="1:9" x14ac:dyDescent="0.25">
      <c r="A1308" s="3">
        <v>42076</v>
      </c>
      <c r="B1308" s="4" t="s">
        <v>0</v>
      </c>
      <c r="C1308" s="4">
        <v>545.82394339999996</v>
      </c>
      <c r="D1308" s="6">
        <f t="shared" si="120"/>
        <v>-1.4743146033776822E-2</v>
      </c>
      <c r="E1308" s="4">
        <f t="shared" si="121"/>
        <v>-1.0088898298393999E-2</v>
      </c>
      <c r="F1308" s="6">
        <f t="shared" si="122"/>
        <v>-4.6542477353828226E-3</v>
      </c>
      <c r="G1308" s="4">
        <f t="shared" si="125"/>
        <v>3.1639510016050851E-2</v>
      </c>
      <c r="H1308" s="4">
        <f t="shared" si="123"/>
        <v>-0.14710239611870424</v>
      </c>
      <c r="I1308" s="4">
        <f t="shared" si="124"/>
        <v>-0.92975809067660475</v>
      </c>
    </row>
    <row r="1309" spans="1:9" x14ac:dyDescent="0.25">
      <c r="A1309" s="3">
        <v>42079</v>
      </c>
      <c r="B1309" s="4" t="s">
        <v>0</v>
      </c>
      <c r="C1309" s="4">
        <v>552.99426329999994</v>
      </c>
      <c r="D1309" s="6">
        <f t="shared" si="120"/>
        <v>1.3136689928505583E-2</v>
      </c>
      <c r="E1309" s="4">
        <f t="shared" si="121"/>
        <v>8.8944031327427373E-4</v>
      </c>
      <c r="F1309" s="6">
        <f t="shared" si="122"/>
        <v>1.2247249615231309E-2</v>
      </c>
      <c r="G1309" s="4">
        <f t="shared" si="125"/>
        <v>1.4008458082211052E-2</v>
      </c>
      <c r="H1309" s="4">
        <f t="shared" si="123"/>
        <v>0.8742753516023114</v>
      </c>
      <c r="I1309" s="4">
        <f t="shared" si="124"/>
        <v>-1.3011172284143455</v>
      </c>
    </row>
    <row r="1310" spans="1:9" x14ac:dyDescent="0.25">
      <c r="A1310" s="3">
        <v>42080</v>
      </c>
      <c r="B1310" s="4" t="s">
        <v>0</v>
      </c>
      <c r="C1310" s="4">
        <v>549.33427380000001</v>
      </c>
      <c r="D1310" s="6">
        <f t="shared" si="120"/>
        <v>-6.618494517753053E-3</v>
      </c>
      <c r="E1310" s="4">
        <f t="shared" si="121"/>
        <v>-3.2298736621921812E-3</v>
      </c>
      <c r="F1310" s="6">
        <f t="shared" si="122"/>
        <v>-3.3886208555608719E-3</v>
      </c>
      <c r="G1310" s="4">
        <f t="shared" si="125"/>
        <v>3.0930562093066005E-2</v>
      </c>
      <c r="H1310" s="4">
        <f t="shared" si="123"/>
        <v>-0.10955574765712166</v>
      </c>
      <c r="I1310" s="4">
        <f t="shared" si="124"/>
        <v>-0.92493976412702805</v>
      </c>
    </row>
    <row r="1311" spans="1:9" x14ac:dyDescent="0.25">
      <c r="A1311" s="3">
        <v>42081</v>
      </c>
      <c r="B1311" s="4" t="s">
        <v>0</v>
      </c>
      <c r="C1311" s="4">
        <v>557.97060469999997</v>
      </c>
      <c r="D1311" s="6">
        <f t="shared" si="120"/>
        <v>1.5721449237562503E-2</v>
      </c>
      <c r="E1311" s="4">
        <f t="shared" si="121"/>
        <v>5.0663008537287033E-4</v>
      </c>
      <c r="F1311" s="6">
        <f t="shared" si="122"/>
        <v>1.5214819152189633E-2</v>
      </c>
      <c r="G1311" s="4">
        <f t="shared" si="125"/>
        <v>1.3356053138377719E-2</v>
      </c>
      <c r="H1311" s="4">
        <f t="shared" si="123"/>
        <v>1.1391703068678931</v>
      </c>
      <c r="I1311" s="4">
        <f t="shared" si="124"/>
        <v>-1.5677930272294176</v>
      </c>
    </row>
    <row r="1312" spans="1:9" x14ac:dyDescent="0.25">
      <c r="A1312" s="3">
        <v>42082</v>
      </c>
      <c r="B1312" s="4" t="s">
        <v>0</v>
      </c>
      <c r="C1312" s="4">
        <v>556.46473809999998</v>
      </c>
      <c r="D1312" s="6">
        <f t="shared" si="120"/>
        <v>-2.6988278366557299E-3</v>
      </c>
      <c r="E1312" s="4">
        <f t="shared" si="121"/>
        <v>1.4933418783605605E-3</v>
      </c>
      <c r="F1312" s="6">
        <f t="shared" si="122"/>
        <v>-4.19216971501629E-3</v>
      </c>
      <c r="G1312" s="4">
        <f t="shared" si="125"/>
        <v>3.9804685200528378E-2</v>
      </c>
      <c r="H1312" s="4">
        <f t="shared" si="123"/>
        <v>-0.10531849941525583</v>
      </c>
      <c r="I1312" s="4">
        <f t="shared" si="124"/>
        <v>-0.92448452636421319</v>
      </c>
    </row>
    <row r="1313" spans="1:9" x14ac:dyDescent="0.25">
      <c r="A1313" s="3">
        <v>42083</v>
      </c>
      <c r="B1313" s="4" t="s">
        <v>0</v>
      </c>
      <c r="C1313" s="4">
        <v>558.82827399999996</v>
      </c>
      <c r="D1313" s="6">
        <f t="shared" si="120"/>
        <v>4.2474136062422823E-3</v>
      </c>
      <c r="E1313" s="4">
        <f t="shared" si="121"/>
        <v>3.9830007441196604E-3</v>
      </c>
      <c r="F1313" s="6">
        <f t="shared" si="122"/>
        <v>2.6441286212262188E-4</v>
      </c>
      <c r="G1313" s="4">
        <f t="shared" si="125"/>
        <v>1.639453768288426E-2</v>
      </c>
      <c r="H1313" s="4">
        <f t="shared" si="123"/>
        <v>1.6128107253592542E-2</v>
      </c>
      <c r="I1313" s="4">
        <f t="shared" si="124"/>
        <v>-0.91906859112646433</v>
      </c>
    </row>
    <row r="1314" spans="1:9" x14ac:dyDescent="0.25">
      <c r="A1314" s="3">
        <v>42086</v>
      </c>
      <c r="B1314" s="4" t="s">
        <v>0</v>
      </c>
      <c r="C1314" s="4">
        <v>557.28249089999997</v>
      </c>
      <c r="D1314" s="6">
        <f t="shared" si="120"/>
        <v>-2.7661146937600985E-3</v>
      </c>
      <c r="E1314" s="4">
        <f t="shared" si="121"/>
        <v>3.783107762844312E-3</v>
      </c>
      <c r="F1314" s="6">
        <f t="shared" si="122"/>
        <v>-6.5492224566044109E-3</v>
      </c>
      <c r="G1314" s="4">
        <f t="shared" si="125"/>
        <v>8.0162941035856732E-3</v>
      </c>
      <c r="H1314" s="4">
        <f t="shared" si="123"/>
        <v>-0.81698879456966977</v>
      </c>
      <c r="I1314" s="4">
        <f t="shared" si="124"/>
        <v>-1.2526738784308737</v>
      </c>
    </row>
    <row r="1315" spans="1:9" x14ac:dyDescent="0.25">
      <c r="A1315" s="3">
        <v>42087</v>
      </c>
      <c r="B1315" s="4" t="s">
        <v>0</v>
      </c>
      <c r="C1315" s="4">
        <v>568.63141940000003</v>
      </c>
      <c r="D1315" s="6">
        <f t="shared" si="120"/>
        <v>2.0364767753014754E-2</v>
      </c>
      <c r="E1315" s="4">
        <f t="shared" si="121"/>
        <v>7.9712063079257118E-4</v>
      </c>
      <c r="F1315" s="6">
        <f t="shared" si="122"/>
        <v>1.9567647122222181E-2</v>
      </c>
      <c r="G1315" s="4">
        <f t="shared" si="125"/>
        <v>2.8687400685391509E-2</v>
      </c>
      <c r="H1315" s="4">
        <f t="shared" si="123"/>
        <v>0.68209899310210487</v>
      </c>
      <c r="I1315" s="4">
        <f t="shared" si="124"/>
        <v>-1.1515680514001254</v>
      </c>
    </row>
    <row r="1316" spans="1:9" x14ac:dyDescent="0.25">
      <c r="A1316" s="3">
        <v>42088</v>
      </c>
      <c r="B1316" s="4" t="s">
        <v>0</v>
      </c>
      <c r="C1316" s="4">
        <v>557.25758829999995</v>
      </c>
      <c r="D1316" s="6">
        <f t="shared" si="120"/>
        <v>-2.0002115099445866E-2</v>
      </c>
      <c r="E1316" s="4">
        <f t="shared" si="121"/>
        <v>2.4375895105308563E-4</v>
      </c>
      <c r="F1316" s="6">
        <f t="shared" si="122"/>
        <v>-2.0245874050498953E-2</v>
      </c>
      <c r="G1316" s="4">
        <f t="shared" si="125"/>
        <v>2.6354405684353648E-2</v>
      </c>
      <c r="H1316" s="4">
        <f t="shared" si="123"/>
        <v>-0.76821592158000096</v>
      </c>
      <c r="I1316" s="4">
        <f t="shared" si="124"/>
        <v>-1.2140163842891776</v>
      </c>
    </row>
    <row r="1317" spans="1:9" x14ac:dyDescent="0.25">
      <c r="A1317" s="3">
        <v>42089</v>
      </c>
      <c r="B1317" s="4" t="s">
        <v>0</v>
      </c>
      <c r="C1317" s="4">
        <v>553.65246909999996</v>
      </c>
      <c r="D1317" s="6">
        <f t="shared" si="120"/>
        <v>-6.4693945415762949E-3</v>
      </c>
      <c r="E1317" s="4">
        <f t="shared" si="121"/>
        <v>6.9374986863610022E-3</v>
      </c>
      <c r="F1317" s="6">
        <f t="shared" si="122"/>
        <v>-1.3406893227937297E-2</v>
      </c>
      <c r="G1317" s="4">
        <f t="shared" si="125"/>
        <v>2.8695728849060829E-2</v>
      </c>
      <c r="H1317" s="4">
        <f t="shared" si="123"/>
        <v>-0.46720866713152281</v>
      </c>
      <c r="I1317" s="4">
        <f t="shared" si="124"/>
        <v>-1.0280805025260797</v>
      </c>
    </row>
    <row r="1318" spans="1:9" x14ac:dyDescent="0.25">
      <c r="A1318" s="3">
        <v>42090</v>
      </c>
      <c r="B1318" s="4" t="s">
        <v>0</v>
      </c>
      <c r="C1318" s="4">
        <v>546.84115959999997</v>
      </c>
      <c r="D1318" s="6">
        <f t="shared" si="120"/>
        <v>-1.2302499998008216E-2</v>
      </c>
      <c r="E1318" s="4">
        <f t="shared" si="121"/>
        <v>-1.4097671179532133E-3</v>
      </c>
      <c r="F1318" s="6">
        <f t="shared" si="122"/>
        <v>-1.0892732880055003E-2</v>
      </c>
      <c r="G1318" s="4">
        <f t="shared" si="125"/>
        <v>2.0068612208183949E-2</v>
      </c>
      <c r="H1318" s="4">
        <f t="shared" si="123"/>
        <v>-0.54277459582446685</v>
      </c>
      <c r="I1318" s="4">
        <f t="shared" si="124"/>
        <v>-1.0662406641408793</v>
      </c>
    </row>
    <row r="1319" spans="1:9" x14ac:dyDescent="0.25">
      <c r="A1319" s="3">
        <v>42093</v>
      </c>
      <c r="B1319" s="4" t="s">
        <v>0</v>
      </c>
      <c r="C1319" s="4">
        <v>550.52104650000001</v>
      </c>
      <c r="D1319" s="6">
        <f t="shared" si="120"/>
        <v>6.729352455275648E-3</v>
      </c>
      <c r="E1319" s="4">
        <f t="shared" si="121"/>
        <v>-8.5990531292703884E-3</v>
      </c>
      <c r="F1319" s="6">
        <f t="shared" si="122"/>
        <v>1.5328405584546036E-2</v>
      </c>
      <c r="G1319" s="4">
        <f t="shared" si="125"/>
        <v>2.0775928698501766E-2</v>
      </c>
      <c r="H1319" s="4">
        <f t="shared" si="123"/>
        <v>0.73779640886288889</v>
      </c>
      <c r="I1319" s="4">
        <f t="shared" si="124"/>
        <v>-1.1911103036701602</v>
      </c>
    </row>
    <row r="1320" spans="1:9" x14ac:dyDescent="0.25">
      <c r="A1320" s="3">
        <v>42094</v>
      </c>
      <c r="B1320" s="4" t="s">
        <v>0</v>
      </c>
      <c r="C1320" s="4">
        <v>546.50204659999997</v>
      </c>
      <c r="D1320" s="6">
        <f t="shared" si="120"/>
        <v>-7.3003564996311906E-3</v>
      </c>
      <c r="E1320" s="4">
        <f t="shared" si="121"/>
        <v>-6.684121870499821E-3</v>
      </c>
      <c r="F1320" s="6">
        <f t="shared" si="122"/>
        <v>-6.1623462913136962E-4</v>
      </c>
      <c r="G1320" s="4">
        <f t="shared" si="125"/>
        <v>2.7036845725645967E-2</v>
      </c>
      <c r="H1320" s="4">
        <f t="shared" si="123"/>
        <v>-2.2792400984366176E-2</v>
      </c>
      <c r="I1320" s="4">
        <f t="shared" si="124"/>
        <v>-0.9191982799759888</v>
      </c>
    </row>
    <row r="1321" spans="1:9" x14ac:dyDescent="0.25">
      <c r="A1321" s="3">
        <v>42095</v>
      </c>
      <c r="B1321" s="4" t="s">
        <v>0</v>
      </c>
      <c r="C1321" s="4">
        <v>541.0769123</v>
      </c>
      <c r="D1321" s="6">
        <f t="shared" si="120"/>
        <v>-9.9270155230924036E-3</v>
      </c>
      <c r="E1321" s="4">
        <f t="shared" si="121"/>
        <v>-1.1953222582049496E-3</v>
      </c>
      <c r="F1321" s="6">
        <f t="shared" si="122"/>
        <v>-8.7316932648874544E-3</v>
      </c>
      <c r="G1321" s="4">
        <f t="shared" si="125"/>
        <v>1.1485751324857806E-2</v>
      </c>
      <c r="H1321" s="4">
        <f t="shared" si="123"/>
        <v>-0.76021959886856183</v>
      </c>
      <c r="I1321" s="4">
        <f t="shared" si="124"/>
        <v>-1.2079054524566113</v>
      </c>
    </row>
    <row r="1322" spans="1:9" x14ac:dyDescent="0.25">
      <c r="A1322" s="3">
        <v>42096</v>
      </c>
      <c r="B1322" s="4" t="s">
        <v>0</v>
      </c>
      <c r="C1322" s="4">
        <v>534.0661384</v>
      </c>
      <c r="D1322" s="6">
        <f t="shared" si="120"/>
        <v>-1.2957074568564998E-2</v>
      </c>
      <c r="E1322" s="4">
        <f t="shared" si="121"/>
        <v>-7.3009403419468152E-4</v>
      </c>
      <c r="F1322" s="6">
        <f t="shared" si="122"/>
        <v>-1.2226980534370317E-2</v>
      </c>
      <c r="G1322" s="4">
        <f t="shared" si="125"/>
        <v>2.6963163812687308E-2</v>
      </c>
      <c r="H1322" s="4">
        <f t="shared" si="123"/>
        <v>-0.4534698012188394</v>
      </c>
      <c r="I1322" s="4">
        <f t="shared" si="124"/>
        <v>-1.0217559635133995</v>
      </c>
    </row>
    <row r="1323" spans="1:9" x14ac:dyDescent="0.25">
      <c r="A1323" s="3">
        <v>42100</v>
      </c>
      <c r="B1323" s="4" t="s">
        <v>0</v>
      </c>
      <c r="C1323" s="4">
        <v>535.29777200000001</v>
      </c>
      <c r="D1323" s="6">
        <f t="shared" si="120"/>
        <v>2.306144335774292E-3</v>
      </c>
      <c r="E1323" s="4">
        <f t="shared" si="121"/>
        <v>-6.0309011940570811E-3</v>
      </c>
      <c r="F1323" s="6">
        <f t="shared" si="122"/>
        <v>8.3370455298313727E-3</v>
      </c>
      <c r="G1323" s="4">
        <f t="shared" si="125"/>
        <v>1.9332563025156024E-2</v>
      </c>
      <c r="H1323" s="4">
        <f t="shared" si="123"/>
        <v>0.43124367519107509</v>
      </c>
      <c r="I1323" s="4">
        <f t="shared" si="124"/>
        <v>-1.0119240869008252</v>
      </c>
    </row>
    <row r="1324" spans="1:9" x14ac:dyDescent="0.25">
      <c r="A1324" s="3">
        <v>42101</v>
      </c>
      <c r="B1324" s="4" t="s">
        <v>0</v>
      </c>
      <c r="C1324" s="4">
        <v>535.55204590000005</v>
      </c>
      <c r="D1324" s="6">
        <f t="shared" si="120"/>
        <v>4.7501393299287598E-4</v>
      </c>
      <c r="E1324" s="4">
        <f t="shared" si="121"/>
        <v>-7.9933446639932192E-3</v>
      </c>
      <c r="F1324" s="6">
        <f t="shared" si="122"/>
        <v>8.4683585969860947E-3</v>
      </c>
      <c r="G1324" s="4">
        <f t="shared" si="125"/>
        <v>1.7292495487240916E-2</v>
      </c>
      <c r="H1324" s="4">
        <f t="shared" si="123"/>
        <v>0.48971292797123372</v>
      </c>
      <c r="I1324" s="4">
        <f t="shared" si="124"/>
        <v>-1.0388479091157521</v>
      </c>
    </row>
    <row r="1325" spans="1:9" x14ac:dyDescent="0.25">
      <c r="A1325" s="3">
        <v>42102</v>
      </c>
      <c r="B1325" s="4" t="s">
        <v>0</v>
      </c>
      <c r="C1325" s="4">
        <v>540.12952040000005</v>
      </c>
      <c r="D1325" s="6">
        <f t="shared" si="120"/>
        <v>8.5472075684213042E-3</v>
      </c>
      <c r="E1325" s="4">
        <f t="shared" si="121"/>
        <v>-3.0865321974478531E-3</v>
      </c>
      <c r="F1325" s="6">
        <f t="shared" si="122"/>
        <v>1.1633739765869157E-2</v>
      </c>
      <c r="G1325" s="4">
        <f t="shared" si="125"/>
        <v>1.8755783524989456E-2</v>
      </c>
      <c r="H1325" s="4">
        <f t="shared" si="123"/>
        <v>0.62027479419181963</v>
      </c>
      <c r="I1325" s="4">
        <f t="shared" si="124"/>
        <v>-1.1113089433595249</v>
      </c>
    </row>
    <row r="1326" spans="1:9" x14ac:dyDescent="0.25">
      <c r="A1326" s="3">
        <v>42103</v>
      </c>
      <c r="B1326" s="4" t="s">
        <v>0</v>
      </c>
      <c r="C1326" s="4">
        <v>539.30181889999994</v>
      </c>
      <c r="D1326" s="6">
        <f t="shared" si="120"/>
        <v>-1.532413002324216E-3</v>
      </c>
      <c r="E1326" s="4">
        <f t="shared" si="121"/>
        <v>8.8802070412233509E-4</v>
      </c>
      <c r="F1326" s="6">
        <f t="shared" si="122"/>
        <v>-2.420433706446551E-3</v>
      </c>
      <c r="G1326" s="4">
        <f t="shared" si="125"/>
        <v>2.3037688312228542E-2</v>
      </c>
      <c r="H1326" s="4">
        <f t="shared" si="123"/>
        <v>-0.1050640877523189</v>
      </c>
      <c r="I1326" s="4">
        <f t="shared" si="124"/>
        <v>-0.92445776447228611</v>
      </c>
    </row>
    <row r="1327" spans="1:9" x14ac:dyDescent="0.25">
      <c r="A1327" s="3">
        <v>42104</v>
      </c>
      <c r="B1327" s="4" t="s">
        <v>0</v>
      </c>
      <c r="C1327" s="4">
        <v>538.53387129999999</v>
      </c>
      <c r="D1327" s="6">
        <f t="shared" si="120"/>
        <v>-1.4239662709951909E-3</v>
      </c>
      <c r="E1327" s="4">
        <f t="shared" si="121"/>
        <v>3.4128632379326149E-3</v>
      </c>
      <c r="F1327" s="6">
        <f t="shared" si="122"/>
        <v>-4.8368295089278061E-3</v>
      </c>
      <c r="G1327" s="4">
        <f t="shared" si="125"/>
        <v>1.073181068832813E-2</v>
      </c>
      <c r="H1327" s="4">
        <f t="shared" si="123"/>
        <v>-0.45070022658788794</v>
      </c>
      <c r="I1327" s="4">
        <f t="shared" si="124"/>
        <v>-1.0205038803278594</v>
      </c>
    </row>
    <row r="1328" spans="1:9" x14ac:dyDescent="0.25">
      <c r="A1328" s="3">
        <v>42107</v>
      </c>
      <c r="B1328" s="4" t="s">
        <v>0</v>
      </c>
      <c r="C1328" s="4">
        <v>537.69622100000004</v>
      </c>
      <c r="D1328" s="6">
        <f t="shared" si="120"/>
        <v>-1.555427327120381E-3</v>
      </c>
      <c r="E1328" s="4">
        <f t="shared" si="121"/>
        <v>2.0317631027949772E-3</v>
      </c>
      <c r="F1328" s="6">
        <f t="shared" si="122"/>
        <v>-3.5871904299153582E-3</v>
      </c>
      <c r="G1328" s="4">
        <f t="shared" si="125"/>
        <v>1.6781802941127473E-2</v>
      </c>
      <c r="H1328" s="4">
        <f t="shared" si="123"/>
        <v>-0.2137547701221163</v>
      </c>
      <c r="I1328" s="4">
        <f t="shared" si="124"/>
        <v>-0.9417840840796522</v>
      </c>
    </row>
    <row r="1329" spans="1:9" x14ac:dyDescent="0.25">
      <c r="A1329" s="3">
        <v>42108</v>
      </c>
      <c r="B1329" s="4" t="s">
        <v>0</v>
      </c>
      <c r="C1329" s="4">
        <v>528.94019969999999</v>
      </c>
      <c r="D1329" s="6">
        <f t="shared" si="120"/>
        <v>-1.6284327391618478E-2</v>
      </c>
      <c r="E1329" s="4">
        <f t="shared" si="121"/>
        <v>-1.0136886920291902E-3</v>
      </c>
      <c r="F1329" s="6">
        <f t="shared" si="122"/>
        <v>-1.5270638699589289E-2</v>
      </c>
      <c r="G1329" s="4">
        <f t="shared" si="125"/>
        <v>1.0946395299387951E-2</v>
      </c>
      <c r="H1329" s="4">
        <f t="shared" si="123"/>
        <v>-1.3950381182052798</v>
      </c>
      <c r="I1329" s="4">
        <f t="shared" si="124"/>
        <v>-1.8920042088275368</v>
      </c>
    </row>
    <row r="1330" spans="1:9" x14ac:dyDescent="0.25">
      <c r="A1330" s="3">
        <v>42109</v>
      </c>
      <c r="B1330" s="4" t="s">
        <v>0</v>
      </c>
      <c r="C1330" s="4">
        <v>531.07436429999996</v>
      </c>
      <c r="D1330" s="6">
        <f t="shared" si="120"/>
        <v>4.0347937275525686E-3</v>
      </c>
      <c r="E1330" s="4">
        <f t="shared" si="121"/>
        <v>-1.0310260503526934E-3</v>
      </c>
      <c r="F1330" s="6">
        <f t="shared" si="122"/>
        <v>5.065819777905262E-3</v>
      </c>
      <c r="G1330" s="4">
        <f t="shared" si="125"/>
        <v>4.8396123572009148E-2</v>
      </c>
      <c r="H1330" s="4">
        <f t="shared" si="123"/>
        <v>0.10467408139347711</v>
      </c>
      <c r="I1330" s="4">
        <f t="shared" si="124"/>
        <v>-0.92441686486245678</v>
      </c>
    </row>
    <row r="1331" spans="1:9" x14ac:dyDescent="0.25">
      <c r="A1331" s="3">
        <v>42110</v>
      </c>
      <c r="B1331" s="4" t="s">
        <v>0</v>
      </c>
      <c r="C1331" s="4">
        <v>532.34084919999998</v>
      </c>
      <c r="D1331" s="6">
        <f t="shared" si="120"/>
        <v>2.3847599981018765E-3</v>
      </c>
      <c r="E1331" s="4">
        <f t="shared" si="121"/>
        <v>-6.7014322914448797E-3</v>
      </c>
      <c r="F1331" s="6">
        <f t="shared" si="122"/>
        <v>9.0861922895467562E-3</v>
      </c>
      <c r="G1331" s="4">
        <f t="shared" si="125"/>
        <v>1.9469110447212154E-2</v>
      </c>
      <c r="H1331" s="4">
        <f t="shared" si="123"/>
        <v>0.46669786553333964</v>
      </c>
      <c r="I1331" s="4">
        <f t="shared" si="124"/>
        <v>-1.0278419820513602</v>
      </c>
    </row>
    <row r="1332" spans="1:9" x14ac:dyDescent="0.25">
      <c r="A1332" s="3">
        <v>42111</v>
      </c>
      <c r="B1332" s="4" t="s">
        <v>0</v>
      </c>
      <c r="C1332" s="4">
        <v>522.61753950000002</v>
      </c>
      <c r="D1332" s="6">
        <f t="shared" si="120"/>
        <v>-1.8265195531419608E-2</v>
      </c>
      <c r="E1332" s="4">
        <f t="shared" si="121"/>
        <v>-3.444645803280748E-3</v>
      </c>
      <c r="F1332" s="6">
        <f t="shared" si="122"/>
        <v>-1.4820549728138861E-2</v>
      </c>
      <c r="G1332" s="4">
        <f t="shared" si="125"/>
        <v>1.8369159399785125E-2</v>
      </c>
      <c r="H1332" s="4">
        <f t="shared" si="123"/>
        <v>-0.80681698087459708</v>
      </c>
      <c r="I1332" s="4">
        <f t="shared" si="124"/>
        <v>-1.2444153535184728</v>
      </c>
    </row>
    <row r="1333" spans="1:9" x14ac:dyDescent="0.25">
      <c r="A1333" s="3">
        <v>42114</v>
      </c>
      <c r="B1333" s="4" t="s">
        <v>0</v>
      </c>
      <c r="C1333" s="4">
        <v>533.91654010000002</v>
      </c>
      <c r="D1333" s="6">
        <f t="shared" si="120"/>
        <v>2.162001797874983E-2</v>
      </c>
      <c r="E1333" s="4">
        <f t="shared" si="121"/>
        <v>2.1469433833792833E-3</v>
      </c>
      <c r="F1333" s="6">
        <f t="shared" si="122"/>
        <v>1.9473074595370544E-2</v>
      </c>
      <c r="G1333" s="4">
        <f t="shared" si="125"/>
        <v>2.9038831493804745E-2</v>
      </c>
      <c r="H1333" s="4">
        <f t="shared" si="123"/>
        <v>0.67058740292373697</v>
      </c>
      <c r="I1333" s="4">
        <f t="shared" si="124"/>
        <v>-1.1437822656846739</v>
      </c>
    </row>
    <row r="1334" spans="1:9" x14ac:dyDescent="0.25">
      <c r="A1334" s="3">
        <v>42115</v>
      </c>
      <c r="B1334" s="4" t="s">
        <v>0</v>
      </c>
      <c r="C1334" s="4">
        <v>532.51040569999998</v>
      </c>
      <c r="D1334" s="6">
        <f t="shared" si="120"/>
        <v>-2.6336221008187526E-3</v>
      </c>
      <c r="E1334" s="4">
        <f t="shared" si="121"/>
        <v>-6.2516342218660072E-3</v>
      </c>
      <c r="F1334" s="6">
        <f t="shared" si="122"/>
        <v>3.6180121210472546E-3</v>
      </c>
      <c r="G1334" s="4">
        <f t="shared" si="125"/>
        <v>2.605970993478365E-2</v>
      </c>
      <c r="H1334" s="4">
        <f t="shared" si="123"/>
        <v>0.13883547169564039</v>
      </c>
      <c r="I1334" s="4">
        <f t="shared" si="124"/>
        <v>-0.92857617730514808</v>
      </c>
    </row>
    <row r="1335" spans="1:9" x14ac:dyDescent="0.25">
      <c r="A1335" s="3">
        <v>42116</v>
      </c>
      <c r="B1335" s="4" t="s">
        <v>0</v>
      </c>
      <c r="C1335" s="4">
        <v>537.89067910000006</v>
      </c>
      <c r="D1335" s="6">
        <f t="shared" si="120"/>
        <v>1.0103602375483267E-2</v>
      </c>
      <c r="E1335" s="4">
        <f t="shared" si="121"/>
        <v>2.6710743399540725E-3</v>
      </c>
      <c r="F1335" s="6">
        <f t="shared" si="122"/>
        <v>7.4325280355291949E-3</v>
      </c>
      <c r="G1335" s="4">
        <f t="shared" si="125"/>
        <v>1.2104856985010144E-2</v>
      </c>
      <c r="H1335" s="4">
        <f t="shared" si="123"/>
        <v>0.61401204861264758</v>
      </c>
      <c r="I1335" s="4">
        <f t="shared" si="124"/>
        <v>-1.1074439311254227</v>
      </c>
    </row>
    <row r="1336" spans="1:9" x14ac:dyDescent="0.25">
      <c r="A1336" s="3">
        <v>42117</v>
      </c>
      <c r="B1336" s="4" t="s">
        <v>0</v>
      </c>
      <c r="C1336" s="4">
        <v>545.50478859999998</v>
      </c>
      <c r="D1336" s="6">
        <f t="shared" si="120"/>
        <v>1.4155496266899201E-2</v>
      </c>
      <c r="E1336" s="4">
        <f t="shared" si="121"/>
        <v>5.6146014104377431E-3</v>
      </c>
      <c r="F1336" s="6">
        <f t="shared" si="122"/>
        <v>8.5408948564614576E-3</v>
      </c>
      <c r="G1336" s="4">
        <f t="shared" si="125"/>
        <v>2.217407673457036E-2</v>
      </c>
      <c r="H1336" s="4">
        <f t="shared" si="123"/>
        <v>0.38517476775688375</v>
      </c>
      <c r="I1336" s="4">
        <f t="shared" si="124"/>
        <v>-0.99311833406295735</v>
      </c>
    </row>
    <row r="1337" spans="1:9" x14ac:dyDescent="0.25">
      <c r="A1337" s="3">
        <v>42118</v>
      </c>
      <c r="B1337" s="4" t="s">
        <v>0</v>
      </c>
      <c r="C1337" s="4">
        <v>563.51542940000002</v>
      </c>
      <c r="D1337" s="6">
        <f t="shared" si="120"/>
        <v>3.3016466906226595E-2</v>
      </c>
      <c r="E1337" s="4">
        <f t="shared" si="121"/>
        <v>3.0561277247953648E-3</v>
      </c>
      <c r="F1337" s="6">
        <f t="shared" si="122"/>
        <v>2.996033918143123E-2</v>
      </c>
      <c r="G1337" s="4">
        <f t="shared" si="125"/>
        <v>1.648538828661622E-2</v>
      </c>
      <c r="H1337" s="4">
        <f t="shared" si="123"/>
        <v>1.8173875349817963</v>
      </c>
      <c r="I1337" s="4">
        <f t="shared" si="124"/>
        <v>-2.5703872593582773</v>
      </c>
    </row>
    <row r="1338" spans="1:9" x14ac:dyDescent="0.25">
      <c r="A1338" s="3">
        <v>42121</v>
      </c>
      <c r="B1338" s="4" t="s">
        <v>0</v>
      </c>
      <c r="C1338" s="4">
        <v>555.36999500000002</v>
      </c>
      <c r="D1338" s="6">
        <f t="shared" si="120"/>
        <v>-1.4454678567848277E-2</v>
      </c>
      <c r="E1338" s="4">
        <f t="shared" si="121"/>
        <v>8.5062629440668773E-3</v>
      </c>
      <c r="F1338" s="6">
        <f t="shared" si="122"/>
        <v>-2.2960941511915155E-2</v>
      </c>
      <c r="G1338" s="4">
        <f t="shared" si="125"/>
        <v>6.2990100161617782E-2</v>
      </c>
      <c r="H1338" s="4">
        <f t="shared" si="123"/>
        <v>-0.36451666933379656</v>
      </c>
      <c r="I1338" s="4">
        <f t="shared" si="124"/>
        <v>-0.98537473431577494</v>
      </c>
    </row>
    <row r="1339" spans="1:9" x14ac:dyDescent="0.25">
      <c r="A1339" s="3">
        <v>42122</v>
      </c>
      <c r="B1339" s="4" t="s">
        <v>0</v>
      </c>
      <c r="C1339" s="4">
        <v>553.67999299999997</v>
      </c>
      <c r="D1339" s="6">
        <f t="shared" si="120"/>
        <v>-3.0430199960659551E-3</v>
      </c>
      <c r="E1339" s="4">
        <f t="shared" si="121"/>
        <v>1.6956372073988514E-2</v>
      </c>
      <c r="F1339" s="6">
        <f t="shared" si="122"/>
        <v>-1.999939207005447E-2</v>
      </c>
      <c r="G1339" s="4">
        <f t="shared" si="125"/>
        <v>2.7568279982508336E-2</v>
      </c>
      <c r="H1339" s="4">
        <f t="shared" si="123"/>
        <v>-0.72544939628964111</v>
      </c>
      <c r="I1339" s="4">
        <f t="shared" si="124"/>
        <v>-1.1820769464931751</v>
      </c>
    </row>
    <row r="1340" spans="1:9" x14ac:dyDescent="0.25">
      <c r="A1340" s="3">
        <v>42123</v>
      </c>
      <c r="B1340" s="4" t="s">
        <v>0</v>
      </c>
      <c r="C1340" s="4">
        <v>549.080017</v>
      </c>
      <c r="D1340" s="6">
        <f t="shared" si="120"/>
        <v>-8.3080047286447096E-3</v>
      </c>
      <c r="E1340" s="4">
        <f t="shared" si="121"/>
        <v>4.5855819576514365E-3</v>
      </c>
      <c r="F1340" s="6">
        <f t="shared" si="122"/>
        <v>-1.2893586686296147E-2</v>
      </c>
      <c r="G1340" s="4">
        <f t="shared" si="125"/>
        <v>2.7522558096676874E-2</v>
      </c>
      <c r="H1340" s="4">
        <f t="shared" si="123"/>
        <v>-0.46847341155591721</v>
      </c>
      <c r="I1340" s="4">
        <f t="shared" si="124"/>
        <v>-1.0286722018720926</v>
      </c>
    </row>
    <row r="1341" spans="1:9" x14ac:dyDescent="0.25">
      <c r="A1341" s="3">
        <v>42124</v>
      </c>
      <c r="B1341" s="4" t="s">
        <v>0</v>
      </c>
      <c r="C1341" s="4">
        <v>537.34002699999996</v>
      </c>
      <c r="D1341" s="6">
        <f t="shared" si="120"/>
        <v>-2.1381200620163954E-2</v>
      </c>
      <c r="E1341" s="4">
        <f t="shared" si="121"/>
        <v>-5.5902267502487913E-3</v>
      </c>
      <c r="F1341" s="6">
        <f t="shared" si="122"/>
        <v>-1.5790973869915164E-2</v>
      </c>
      <c r="G1341" s="4">
        <f t="shared" si="125"/>
        <v>1.9862948567460393E-2</v>
      </c>
      <c r="H1341" s="4">
        <f t="shared" si="123"/>
        <v>-0.79499646370650312</v>
      </c>
      <c r="I1341" s="4">
        <f t="shared" si="124"/>
        <v>-1.2349482218575953</v>
      </c>
    </row>
    <row r="1342" spans="1:9" x14ac:dyDescent="0.25">
      <c r="A1342" s="3">
        <v>42125</v>
      </c>
      <c r="B1342" s="4" t="s">
        <v>0</v>
      </c>
      <c r="C1342" s="4">
        <v>537.90002400000003</v>
      </c>
      <c r="D1342" s="6">
        <f t="shared" si="120"/>
        <v>1.0421650572479439E-3</v>
      </c>
      <c r="E1342" s="4">
        <f t="shared" si="121"/>
        <v>-4.1083367766232412E-3</v>
      </c>
      <c r="F1342" s="6">
        <f t="shared" si="122"/>
        <v>5.1505018338711848E-3</v>
      </c>
      <c r="G1342" s="4">
        <f t="shared" si="125"/>
        <v>2.8795826235434672E-2</v>
      </c>
      <c r="H1342" s="4">
        <f t="shared" si="123"/>
        <v>0.17886279045305672</v>
      </c>
      <c r="I1342" s="4">
        <f t="shared" si="124"/>
        <v>-0.93493448210899976</v>
      </c>
    </row>
    <row r="1343" spans="1:9" x14ac:dyDescent="0.25">
      <c r="A1343" s="3">
        <v>42128</v>
      </c>
      <c r="B1343" s="4" t="s">
        <v>0</v>
      </c>
      <c r="C1343" s="4">
        <v>540.78002900000001</v>
      </c>
      <c r="D1343" s="6">
        <f t="shared" si="120"/>
        <v>5.3541641039227443E-3</v>
      </c>
      <c r="E1343" s="4">
        <f t="shared" si="121"/>
        <v>-1.071791261923982E-2</v>
      </c>
      <c r="F1343" s="6">
        <f t="shared" si="122"/>
        <v>1.6072076723162566E-2</v>
      </c>
      <c r="G1343" s="4">
        <f t="shared" si="125"/>
        <v>1.3543555161791185E-2</v>
      </c>
      <c r="H1343" s="4">
        <f t="shared" si="123"/>
        <v>1.1866955560165471</v>
      </c>
      <c r="I1343" s="4">
        <f t="shared" si="124"/>
        <v>-1.6230617045393836</v>
      </c>
    </row>
    <row r="1344" spans="1:9" x14ac:dyDescent="0.25">
      <c r="A1344" s="3">
        <v>42129</v>
      </c>
      <c r="B1344" s="4" t="s">
        <v>0</v>
      </c>
      <c r="C1344" s="4">
        <v>530.79998799999998</v>
      </c>
      <c r="D1344" s="6">
        <f t="shared" si="120"/>
        <v>-1.845489933948731E-2</v>
      </c>
      <c r="E1344" s="4">
        <f t="shared" si="121"/>
        <v>-6.1495348614359503E-3</v>
      </c>
      <c r="F1344" s="6">
        <f t="shared" si="122"/>
        <v>-1.230536447805136E-2</v>
      </c>
      <c r="G1344" s="4">
        <f t="shared" si="125"/>
        <v>4.1421986780480029E-2</v>
      </c>
      <c r="H1344" s="4">
        <f t="shared" si="123"/>
        <v>-0.29707325588376221</v>
      </c>
      <c r="I1344" s="4">
        <f t="shared" si="124"/>
        <v>-0.96306479288536229</v>
      </c>
    </row>
    <row r="1345" spans="1:9" x14ac:dyDescent="0.25">
      <c r="A1345" s="3">
        <v>42130</v>
      </c>
      <c r="B1345" s="4" t="s">
        <v>0</v>
      </c>
      <c r="C1345" s="4">
        <v>524.21997099999999</v>
      </c>
      <c r="D1345" s="6">
        <f t="shared" si="120"/>
        <v>-1.239641512576673E-2</v>
      </c>
      <c r="E1345" s="4">
        <f t="shared" si="121"/>
        <v>2.36558191610564E-3</v>
      </c>
      <c r="F1345" s="6">
        <f t="shared" si="122"/>
        <v>-1.4761997041872369E-2</v>
      </c>
      <c r="G1345" s="4">
        <f t="shared" si="125"/>
        <v>1.9470814351398628E-2</v>
      </c>
      <c r="H1345" s="4">
        <f t="shared" si="123"/>
        <v>-0.75816022768518587</v>
      </c>
      <c r="I1345" s="4">
        <f t="shared" si="124"/>
        <v>-1.2063419986264992</v>
      </c>
    </row>
    <row r="1346" spans="1:9" x14ac:dyDescent="0.25">
      <c r="A1346" s="3">
        <v>42131</v>
      </c>
      <c r="B1346" s="4" t="s">
        <v>0</v>
      </c>
      <c r="C1346" s="4">
        <v>530.70001200000002</v>
      </c>
      <c r="D1346" s="6">
        <f t="shared" si="120"/>
        <v>1.2361301282815929E-2</v>
      </c>
      <c r="E1346" s="4">
        <f t="shared" si="121"/>
        <v>-5.4154478024415606E-3</v>
      </c>
      <c r="F1346" s="6">
        <f t="shared" si="122"/>
        <v>1.777674908525749E-2</v>
      </c>
      <c r="G1346" s="4">
        <f t="shared" si="125"/>
        <v>2.7556093452656073E-2</v>
      </c>
      <c r="H1346" s="4">
        <f t="shared" si="123"/>
        <v>0.64511136586902629</v>
      </c>
      <c r="I1346" s="4">
        <f t="shared" si="124"/>
        <v>-1.1270228703913729</v>
      </c>
    </row>
    <row r="1347" spans="1:9" x14ac:dyDescent="0.25">
      <c r="A1347" s="3">
        <v>42132</v>
      </c>
      <c r="B1347" s="4" t="s">
        <v>0</v>
      </c>
      <c r="C1347" s="4">
        <v>538.21997099999999</v>
      </c>
      <c r="D1347" s="6">
        <f t="shared" si="120"/>
        <v>1.4169886621370514E-2</v>
      </c>
      <c r="E1347" s="4">
        <f t="shared" si="121"/>
        <v>-1.0390498390025794E-2</v>
      </c>
      <c r="F1347" s="6">
        <f t="shared" si="122"/>
        <v>2.4560385011396308E-2</v>
      </c>
      <c r="G1347" s="4">
        <f t="shared" si="125"/>
        <v>2.5045309107702571E-2</v>
      </c>
      <c r="H1347" s="4">
        <f t="shared" si="123"/>
        <v>0.98063812691546592</v>
      </c>
      <c r="I1347" s="4">
        <f t="shared" si="124"/>
        <v>-1.3997641011848094</v>
      </c>
    </row>
    <row r="1348" spans="1:9" x14ac:dyDescent="0.25">
      <c r="A1348" s="3">
        <v>42135</v>
      </c>
      <c r="B1348" s="4" t="s">
        <v>0</v>
      </c>
      <c r="C1348" s="4">
        <v>535.70001200000002</v>
      </c>
      <c r="D1348" s="6">
        <f t="shared" ref="D1348:D1411" si="126">(C1348-C1347)/C1347</f>
        <v>-4.682024331646311E-3</v>
      </c>
      <c r="E1348" s="4">
        <f t="shared" si="121"/>
        <v>9.293224232241209E-4</v>
      </c>
      <c r="F1348" s="6">
        <f t="shared" si="122"/>
        <v>-5.6113467548704315E-3</v>
      </c>
      <c r="G1348" s="4">
        <f t="shared" si="125"/>
        <v>3.5393117671941088E-2</v>
      </c>
      <c r="H1348" s="4">
        <f t="shared" si="123"/>
        <v>-0.15854344358363739</v>
      </c>
      <c r="I1348" s="4">
        <f t="shared" si="124"/>
        <v>-0.93150654495635166</v>
      </c>
    </row>
    <row r="1349" spans="1:9" x14ac:dyDescent="0.25">
      <c r="A1349" s="3">
        <v>42136</v>
      </c>
      <c r="B1349" s="4" t="s">
        <v>0</v>
      </c>
      <c r="C1349" s="4">
        <v>529.03997800000002</v>
      </c>
      <c r="D1349" s="6">
        <f t="shared" si="126"/>
        <v>-1.2432394718706849E-2</v>
      </c>
      <c r="E1349" s="4">
        <f t="shared" si="121"/>
        <v>9.2024353870915031E-3</v>
      </c>
      <c r="F1349" s="6">
        <f t="shared" si="122"/>
        <v>-2.163483010579835E-2</v>
      </c>
      <c r="G1349" s="4">
        <f t="shared" si="125"/>
        <v>1.5395963647682687E-2</v>
      </c>
      <c r="H1349" s="4">
        <f t="shared" si="123"/>
        <v>-1.405227409006951</v>
      </c>
      <c r="I1349" s="4">
        <f t="shared" si="124"/>
        <v>-1.9062705687168673</v>
      </c>
    </row>
    <row r="1350" spans="1:9" x14ac:dyDescent="0.25">
      <c r="A1350" s="3">
        <v>42137</v>
      </c>
      <c r="B1350" s="4" t="s">
        <v>0</v>
      </c>
      <c r="C1350" s="4">
        <v>529.61999500000002</v>
      </c>
      <c r="D1350" s="6">
        <f t="shared" si="126"/>
        <v>1.0963575988958587E-3</v>
      </c>
      <c r="E1350" s="4">
        <f t="shared" si="121"/>
        <v>2.5494698771998262E-3</v>
      </c>
      <c r="F1350" s="6">
        <f t="shared" si="122"/>
        <v>-1.4531122783039674E-3</v>
      </c>
      <c r="G1350" s="4">
        <f t="shared" si="125"/>
        <v>4.8918149269754581E-2</v>
      </c>
      <c r="H1350" s="4">
        <f t="shared" si="123"/>
        <v>-2.9704972489676889E-2</v>
      </c>
      <c r="I1350" s="4">
        <f t="shared" si="124"/>
        <v>-0.91937972589997885</v>
      </c>
    </row>
    <row r="1351" spans="1:9" x14ac:dyDescent="0.25">
      <c r="A1351" s="3">
        <v>42138</v>
      </c>
      <c r="B1351" s="4" t="s">
        <v>0</v>
      </c>
      <c r="C1351" s="4">
        <v>538.40002400000003</v>
      </c>
      <c r="D1351" s="6">
        <f t="shared" si="126"/>
        <v>1.6577978707167228E-2</v>
      </c>
      <c r="E1351" s="4">
        <f t="shared" ref="E1351:E1414" si="127">+$M$16*D1350+$M$17*D1349+$M$18*D1348</f>
        <v>-6.1865045026606664E-3</v>
      </c>
      <c r="F1351" s="6">
        <f t="shared" ref="F1351:F1414" si="128">D1351-E1351</f>
        <v>2.2764483209827893E-2</v>
      </c>
      <c r="G1351" s="4">
        <f t="shared" si="125"/>
        <v>1.9353121863676184E-2</v>
      </c>
      <c r="H1351" s="4">
        <f t="shared" ref="H1351:H1414" si="129">F1351/G1351</f>
        <v>1.1762693052925215</v>
      </c>
      <c r="I1351" s="4">
        <f t="shared" ref="I1351:I1414" si="130">LN(_xlfn.NORM.DIST(H1351,0,1,FALSE))</f>
        <v>-1.6107432724913482</v>
      </c>
    </row>
    <row r="1352" spans="1:9" x14ac:dyDescent="0.25">
      <c r="A1352" s="3">
        <v>42139</v>
      </c>
      <c r="B1352" s="4" t="s">
        <v>0</v>
      </c>
      <c r="C1352" s="4">
        <v>533.84997599999997</v>
      </c>
      <c r="D1352" s="6">
        <f t="shared" si="126"/>
        <v>-8.45105460099322E-3</v>
      </c>
      <c r="E1352" s="4">
        <f t="shared" si="127"/>
        <v>-3.3880020979980088E-3</v>
      </c>
      <c r="F1352" s="6">
        <f t="shared" si="128"/>
        <v>-5.0630525029952116E-3</v>
      </c>
      <c r="G1352" s="4">
        <f t="shared" ref="G1352:G1415" si="131">SQRT($M$12 + $M$13 *H1351^2+$M$14*G1351^2)</f>
        <v>4.1406704729283254E-2</v>
      </c>
      <c r="H1352" s="4">
        <f t="shared" si="129"/>
        <v>-0.12227615155800041</v>
      </c>
      <c r="I1352" s="4">
        <f t="shared" si="130"/>
        <v>-0.9264142618245903</v>
      </c>
    </row>
    <row r="1353" spans="1:9" x14ac:dyDescent="0.25">
      <c r="A1353" s="3">
        <v>42142</v>
      </c>
      <c r="B1353" s="4" t="s">
        <v>0</v>
      </c>
      <c r="C1353" s="4">
        <v>532.29998799999998</v>
      </c>
      <c r="D1353" s="6">
        <f t="shared" si="126"/>
        <v>-2.9034149474233282E-3</v>
      </c>
      <c r="E1353" s="4">
        <f t="shared" si="127"/>
        <v>6.6730096408651393E-3</v>
      </c>
      <c r="F1353" s="6">
        <f t="shared" si="128"/>
        <v>-9.5764245882884666E-3</v>
      </c>
      <c r="G1353" s="4">
        <f t="shared" si="131"/>
        <v>1.7096811640425428E-2</v>
      </c>
      <c r="H1353" s="4">
        <f t="shared" si="129"/>
        <v>-0.56012926794169049</v>
      </c>
      <c r="I1353" s="4">
        <f t="shared" si="130"/>
        <v>-1.0758109316071196</v>
      </c>
    </row>
    <row r="1354" spans="1:9" x14ac:dyDescent="0.25">
      <c r="A1354" s="3">
        <v>42143</v>
      </c>
      <c r="B1354" s="4" t="s">
        <v>0</v>
      </c>
      <c r="C1354" s="4">
        <v>537.35998500000005</v>
      </c>
      <c r="D1354" s="6">
        <f t="shared" si="126"/>
        <v>9.5059122939526852E-3</v>
      </c>
      <c r="E1354" s="4">
        <f t="shared" si="127"/>
        <v>1.8463220453681871E-3</v>
      </c>
      <c r="F1354" s="6">
        <f t="shared" si="128"/>
        <v>7.6595902485844976E-3</v>
      </c>
      <c r="G1354" s="4">
        <f t="shared" si="131"/>
        <v>2.0932380892099037E-2</v>
      </c>
      <c r="H1354" s="4">
        <f t="shared" si="129"/>
        <v>0.36592064171140815</v>
      </c>
      <c r="I1354" s="4">
        <f t="shared" si="130"/>
        <v>-0.98588749121991714</v>
      </c>
    </row>
    <row r="1355" spans="1:9" x14ac:dyDescent="0.25">
      <c r="A1355" s="3">
        <v>42144</v>
      </c>
      <c r="B1355" s="4" t="s">
        <v>0</v>
      </c>
      <c r="C1355" s="4">
        <v>539.27002000000005</v>
      </c>
      <c r="D1355" s="6">
        <f t="shared" si="126"/>
        <v>3.5544794054585089E-3</v>
      </c>
      <c r="E1355" s="4">
        <f t="shared" si="127"/>
        <v>-3.6978792401019438E-3</v>
      </c>
      <c r="F1355" s="6">
        <f t="shared" si="128"/>
        <v>7.2523586455604527E-3</v>
      </c>
      <c r="G1355" s="4">
        <f t="shared" si="131"/>
        <v>1.5712330535182732E-2</v>
      </c>
      <c r="H1355" s="4">
        <f t="shared" si="129"/>
        <v>0.46157116089946798</v>
      </c>
      <c r="I1355" s="4">
        <f t="shared" si="130"/>
        <v>-1.0254625014917138</v>
      </c>
    </row>
    <row r="1356" spans="1:9" x14ac:dyDescent="0.25">
      <c r="A1356" s="3">
        <v>42145</v>
      </c>
      <c r="B1356" s="4" t="s">
        <v>0</v>
      </c>
      <c r="C1356" s="4">
        <v>542.51000999999997</v>
      </c>
      <c r="D1356" s="6">
        <f t="shared" si="126"/>
        <v>6.0081033245644186E-3</v>
      </c>
      <c r="E1356" s="4">
        <f t="shared" si="127"/>
        <v>2.7448065503832275E-3</v>
      </c>
      <c r="F1356" s="6">
        <f t="shared" si="128"/>
        <v>3.2632967741811911E-3</v>
      </c>
      <c r="G1356" s="4">
        <f t="shared" si="131"/>
        <v>1.7678849800866328E-2</v>
      </c>
      <c r="H1356" s="4">
        <f t="shared" si="129"/>
        <v>0.18458761802599158</v>
      </c>
      <c r="I1356" s="4">
        <f t="shared" si="130"/>
        <v>-0.93597482756892736</v>
      </c>
    </row>
    <row r="1357" spans="1:9" x14ac:dyDescent="0.25">
      <c r="A1357" s="3">
        <v>42146</v>
      </c>
      <c r="B1357" s="4" t="s">
        <v>0</v>
      </c>
      <c r="C1357" s="4">
        <v>540.10998500000005</v>
      </c>
      <c r="D1357" s="6">
        <f t="shared" si="126"/>
        <v>-4.4239275879903381E-3</v>
      </c>
      <c r="E1357" s="4">
        <f t="shared" si="127"/>
        <v>4.2701304359015176E-3</v>
      </c>
      <c r="F1357" s="6">
        <f t="shared" si="128"/>
        <v>-8.6940580238918548E-3</v>
      </c>
      <c r="G1357" s="4">
        <f t="shared" si="131"/>
        <v>1.0516536668809012E-2</v>
      </c>
      <c r="H1357" s="4">
        <f t="shared" si="129"/>
        <v>-0.82670353346245207</v>
      </c>
      <c r="I1357" s="4">
        <f t="shared" si="130"/>
        <v>-1.2606578993243245</v>
      </c>
    </row>
    <row r="1358" spans="1:9" x14ac:dyDescent="0.25">
      <c r="A1358" s="3">
        <v>42150</v>
      </c>
      <c r="B1358" s="4" t="s">
        <v>0</v>
      </c>
      <c r="C1358" s="4">
        <v>532.32000700000003</v>
      </c>
      <c r="D1358" s="6">
        <f t="shared" si="126"/>
        <v>-1.4422947577982693E-2</v>
      </c>
      <c r="E1358" s="4">
        <f t="shared" si="127"/>
        <v>3.3852517375627987E-3</v>
      </c>
      <c r="F1358" s="6">
        <f t="shared" si="128"/>
        <v>-1.7808199315545493E-2</v>
      </c>
      <c r="G1358" s="4">
        <f t="shared" si="131"/>
        <v>2.9130573722596666E-2</v>
      </c>
      <c r="H1358" s="4">
        <f t="shared" si="129"/>
        <v>-0.6113233294039665</v>
      </c>
      <c r="I1358" s="4">
        <f t="shared" si="130"/>
        <v>-1.1057966397414478</v>
      </c>
    </row>
    <row r="1359" spans="1:9" x14ac:dyDescent="0.25">
      <c r="A1359" s="3">
        <v>42151</v>
      </c>
      <c r="B1359" s="4" t="s">
        <v>0</v>
      </c>
      <c r="C1359" s="4">
        <v>539.78997800000002</v>
      </c>
      <c r="D1359" s="6">
        <f t="shared" si="126"/>
        <v>1.4032857870773184E-2</v>
      </c>
      <c r="E1359" s="4">
        <f t="shared" si="127"/>
        <v>1.4853089748341182E-4</v>
      </c>
      <c r="F1359" s="6">
        <f t="shared" si="128"/>
        <v>1.3884326973289772E-2</v>
      </c>
      <c r="G1359" s="4">
        <f t="shared" si="131"/>
        <v>2.42920425746583E-2</v>
      </c>
      <c r="H1359" s="4">
        <f t="shared" si="129"/>
        <v>0.57155864644227328</v>
      </c>
      <c r="I1359" s="4">
        <f t="shared" si="130"/>
        <v>-1.0822781763661344</v>
      </c>
    </row>
    <row r="1360" spans="1:9" x14ac:dyDescent="0.25">
      <c r="A1360" s="3">
        <v>42152</v>
      </c>
      <c r="B1360" s="4" t="s">
        <v>0</v>
      </c>
      <c r="C1360" s="4">
        <v>539.78002900000001</v>
      </c>
      <c r="D1360" s="6">
        <f t="shared" si="126"/>
        <v>-1.8431242530416117E-5</v>
      </c>
      <c r="E1360" s="4">
        <f t="shared" si="127"/>
        <v>-6.8681500610313483E-3</v>
      </c>
      <c r="F1360" s="6">
        <f t="shared" si="128"/>
        <v>6.8497188185009323E-3</v>
      </c>
      <c r="G1360" s="4">
        <f t="shared" si="131"/>
        <v>2.2290074331553503E-2</v>
      </c>
      <c r="H1360" s="4">
        <f t="shared" si="129"/>
        <v>0.30729905681851272</v>
      </c>
      <c r="I1360" s="4">
        <f t="shared" si="130"/>
        <v>-0.96615488836544638</v>
      </c>
    </row>
    <row r="1361" spans="1:9" x14ac:dyDescent="0.25">
      <c r="A1361" s="3">
        <v>42153</v>
      </c>
      <c r="B1361" s="4" t="s">
        <v>0</v>
      </c>
      <c r="C1361" s="4">
        <v>532.10998500000005</v>
      </c>
      <c r="D1361" s="6">
        <f t="shared" si="126"/>
        <v>-1.4209573507581476E-2</v>
      </c>
      <c r="E1361" s="4">
        <f t="shared" si="127"/>
        <v>9.4740995243044676E-4</v>
      </c>
      <c r="F1361" s="6">
        <f t="shared" si="128"/>
        <v>-1.5156983460011923E-2</v>
      </c>
      <c r="G1361" s="4">
        <f t="shared" si="131"/>
        <v>1.4449527216443924E-2</v>
      </c>
      <c r="H1361" s="4">
        <f t="shared" si="129"/>
        <v>-1.048960511508148</v>
      </c>
      <c r="I1361" s="4">
        <f t="shared" si="130"/>
        <v>-1.4690976105563904</v>
      </c>
    </row>
    <row r="1362" spans="1:9" x14ac:dyDescent="0.25">
      <c r="A1362" s="3">
        <v>42156</v>
      </c>
      <c r="B1362" s="4" t="s">
        <v>0</v>
      </c>
      <c r="C1362" s="4">
        <v>533.98999000000003</v>
      </c>
      <c r="D1362" s="6">
        <f t="shared" si="126"/>
        <v>3.5331135535823155E-3</v>
      </c>
      <c r="E1362" s="4">
        <f t="shared" si="127"/>
        <v>4.2902636909019527E-3</v>
      </c>
      <c r="F1362" s="6">
        <f t="shared" si="128"/>
        <v>-7.5715013731963727E-4</v>
      </c>
      <c r="G1362" s="4">
        <f t="shared" si="131"/>
        <v>3.6818027940193225E-2</v>
      </c>
      <c r="H1362" s="4">
        <f t="shared" si="129"/>
        <v>-2.0564657578878019E-2</v>
      </c>
      <c r="I1362" s="4">
        <f t="shared" si="130"/>
        <v>-0.91914998577534102</v>
      </c>
    </row>
    <row r="1363" spans="1:9" x14ac:dyDescent="0.25">
      <c r="A1363" s="3">
        <v>42157</v>
      </c>
      <c r="B1363" s="4" t="s">
        <v>0</v>
      </c>
      <c r="C1363" s="4">
        <v>539.17999299999997</v>
      </c>
      <c r="D1363" s="6">
        <f t="shared" si="126"/>
        <v>9.7192889327381085E-3</v>
      </c>
      <c r="E1363" s="4">
        <f t="shared" si="127"/>
        <v>-5.4375985834835966E-3</v>
      </c>
      <c r="F1363" s="6">
        <f t="shared" si="128"/>
        <v>1.5156887516221705E-2</v>
      </c>
      <c r="G1363" s="4">
        <f t="shared" si="131"/>
        <v>1.492728676736851E-2</v>
      </c>
      <c r="H1363" s="4">
        <f t="shared" si="129"/>
        <v>1.0153812780869935</v>
      </c>
      <c r="I1363" s="4">
        <f t="shared" si="130"/>
        <v>-1.4344381031494609</v>
      </c>
    </row>
    <row r="1364" spans="1:9" x14ac:dyDescent="0.25">
      <c r="A1364" s="3">
        <v>42158</v>
      </c>
      <c r="B1364" s="4" t="s">
        <v>0</v>
      </c>
      <c r="C1364" s="4">
        <v>540.30999799999995</v>
      </c>
      <c r="D1364" s="6">
        <f t="shared" si="126"/>
        <v>2.0957843663905809E-3</v>
      </c>
      <c r="E1364" s="4">
        <f t="shared" si="127"/>
        <v>-3.0008830492785658E-3</v>
      </c>
      <c r="F1364" s="6">
        <f t="shared" si="128"/>
        <v>5.0966674156691467E-3</v>
      </c>
      <c r="G1364" s="4">
        <f t="shared" si="131"/>
        <v>3.5716819808962609E-2</v>
      </c>
      <c r="H1364" s="4">
        <f t="shared" si="129"/>
        <v>0.14269656265394079</v>
      </c>
      <c r="I1364" s="4">
        <f t="shared" si="130"/>
        <v>-0.9291196877012976</v>
      </c>
    </row>
    <row r="1365" spans="1:9" x14ac:dyDescent="0.25">
      <c r="A1365" s="3">
        <v>42159</v>
      </c>
      <c r="B1365" s="4" t="s">
        <v>0</v>
      </c>
      <c r="C1365" s="4">
        <v>536.70001200000002</v>
      </c>
      <c r="D1365" s="6">
        <f t="shared" si="126"/>
        <v>-6.6813237092827882E-3</v>
      </c>
      <c r="E1365" s="4">
        <f t="shared" si="127"/>
        <v>4.7975479225483876E-3</v>
      </c>
      <c r="F1365" s="6">
        <f t="shared" si="128"/>
        <v>-1.1478871631831176E-2</v>
      </c>
      <c r="G1365" s="4">
        <f t="shared" si="131"/>
        <v>1.5321502982934379E-2</v>
      </c>
      <c r="H1365" s="4">
        <f t="shared" si="129"/>
        <v>-0.74920010423368655</v>
      </c>
      <c r="I1365" s="4">
        <f t="shared" si="130"/>
        <v>-1.199588931296556</v>
      </c>
    </row>
    <row r="1366" spans="1:9" x14ac:dyDescent="0.25">
      <c r="A1366" s="3">
        <v>42160</v>
      </c>
      <c r="B1366" s="4" t="s">
        <v>0</v>
      </c>
      <c r="C1366" s="4">
        <v>533.330017</v>
      </c>
      <c r="D1366" s="6">
        <f t="shared" si="126"/>
        <v>-6.2791036419802002E-3</v>
      </c>
      <c r="E1366" s="4">
        <f t="shared" si="127"/>
        <v>3.7775949155382737E-3</v>
      </c>
      <c r="F1366" s="6">
        <f t="shared" si="128"/>
        <v>-1.0056698557518473E-2</v>
      </c>
      <c r="G1366" s="4">
        <f t="shared" si="131"/>
        <v>2.6876373585528669E-2</v>
      </c>
      <c r="H1366" s="4">
        <f t="shared" si="129"/>
        <v>-0.37418361243993903</v>
      </c>
      <c r="I1366" s="4">
        <f t="shared" si="130"/>
        <v>-0.98894522111397398</v>
      </c>
    </row>
    <row r="1367" spans="1:9" x14ac:dyDescent="0.25">
      <c r="A1367" s="3">
        <v>42163</v>
      </c>
      <c r="B1367" s="4" t="s">
        <v>0</v>
      </c>
      <c r="C1367" s="4">
        <v>526.830017</v>
      </c>
      <c r="D1367" s="6">
        <f t="shared" si="126"/>
        <v>-1.2187575783869671E-2</v>
      </c>
      <c r="E1367" s="4">
        <f t="shared" si="127"/>
        <v>-1.9124181821631163E-3</v>
      </c>
      <c r="F1367" s="6">
        <f t="shared" si="128"/>
        <v>-1.0275157601706554E-2</v>
      </c>
      <c r="G1367" s="4">
        <f t="shared" si="131"/>
        <v>1.7190567170517441E-2</v>
      </c>
      <c r="H1367" s="4">
        <f t="shared" si="129"/>
        <v>-0.59772068598928429</v>
      </c>
      <c r="I1367" s="4">
        <f t="shared" si="130"/>
        <v>-1.0975735424344228</v>
      </c>
    </row>
    <row r="1368" spans="1:9" x14ac:dyDescent="0.25">
      <c r="A1368" s="3">
        <v>42164</v>
      </c>
      <c r="B1368" s="4" t="s">
        <v>0</v>
      </c>
      <c r="C1368" s="4">
        <v>526.69000200000005</v>
      </c>
      <c r="D1368" s="6">
        <f t="shared" si="126"/>
        <v>-2.6576883526351628E-4</v>
      </c>
      <c r="E1368" s="4">
        <f t="shared" si="127"/>
        <v>-4.4467847441686734E-3</v>
      </c>
      <c r="F1368" s="6">
        <f t="shared" si="128"/>
        <v>4.1810159089051575E-3</v>
      </c>
      <c r="G1368" s="4">
        <f t="shared" si="131"/>
        <v>2.2137550001487271E-2</v>
      </c>
      <c r="H1368" s="4">
        <f t="shared" si="129"/>
        <v>0.18886534005001743</v>
      </c>
      <c r="I1368" s="4">
        <f t="shared" si="130"/>
        <v>-0.936773591540777</v>
      </c>
    </row>
    <row r="1369" spans="1:9" x14ac:dyDescent="0.25">
      <c r="A1369" s="3">
        <v>42165</v>
      </c>
      <c r="B1369" s="4" t="s">
        <v>0</v>
      </c>
      <c r="C1369" s="4">
        <v>536.69000200000005</v>
      </c>
      <c r="D1369" s="6">
        <f t="shared" si="126"/>
        <v>1.8986500525977328E-2</v>
      </c>
      <c r="E1369" s="4">
        <f t="shared" si="127"/>
        <v>-6.5820516263354854E-3</v>
      </c>
      <c r="F1369" s="6">
        <f t="shared" si="128"/>
        <v>2.5568552152312813E-2</v>
      </c>
      <c r="G1369" s="4">
        <f t="shared" si="131"/>
        <v>1.1762471819552889E-2</v>
      </c>
      <c r="H1369" s="4">
        <f t="shared" si="129"/>
        <v>2.1737397159846896</v>
      </c>
      <c r="I1369" s="4">
        <f t="shared" si="130"/>
        <v>-3.2815107096292722</v>
      </c>
    </row>
    <row r="1370" spans="1:9" x14ac:dyDescent="0.25">
      <c r="A1370" s="3">
        <v>42166</v>
      </c>
      <c r="B1370" s="4" t="s">
        <v>0</v>
      </c>
      <c r="C1370" s="4">
        <v>534.60998500000005</v>
      </c>
      <c r="D1370" s="6">
        <f t="shared" si="126"/>
        <v>-3.8756395540232138E-3</v>
      </c>
      <c r="E1370" s="4">
        <f t="shared" si="127"/>
        <v>-3.8336902138611977E-3</v>
      </c>
      <c r="F1370" s="6">
        <f t="shared" si="128"/>
        <v>-4.1949340162016069E-5</v>
      </c>
      <c r="G1370" s="4">
        <f t="shared" si="131"/>
        <v>7.5027479089749188E-2</v>
      </c>
      <c r="H1370" s="4">
        <f t="shared" si="129"/>
        <v>-5.5911968082834732E-4</v>
      </c>
      <c r="I1370" s="4">
        <f t="shared" si="130"/>
        <v>-0.91893868951208146</v>
      </c>
    </row>
    <row r="1371" spans="1:9" x14ac:dyDescent="0.25">
      <c r="A1371" s="3">
        <v>42167</v>
      </c>
      <c r="B1371" s="4" t="s">
        <v>0</v>
      </c>
      <c r="C1371" s="4">
        <v>532.330017</v>
      </c>
      <c r="D1371" s="6">
        <f t="shared" si="126"/>
        <v>-4.2647314191111736E-3</v>
      </c>
      <c r="E1371" s="4">
        <f t="shared" si="127"/>
        <v>7.1766747516962565E-3</v>
      </c>
      <c r="F1371" s="6">
        <f t="shared" si="128"/>
        <v>-1.144140617080743E-2</v>
      </c>
      <c r="G1371" s="4">
        <f t="shared" si="131"/>
        <v>2.9070308337977437E-2</v>
      </c>
      <c r="H1371" s="4">
        <f t="shared" si="129"/>
        <v>-0.39357704905593943</v>
      </c>
      <c r="I1371" s="4">
        <f t="shared" si="130"/>
        <v>-0.99638997997646339</v>
      </c>
    </row>
    <row r="1372" spans="1:9" x14ac:dyDescent="0.25">
      <c r="A1372" s="3">
        <v>42170</v>
      </c>
      <c r="B1372" s="4" t="s">
        <v>0</v>
      </c>
      <c r="C1372" s="4">
        <v>527.20001200000002</v>
      </c>
      <c r="D1372" s="6">
        <f t="shared" si="126"/>
        <v>-9.6368884642475134E-3</v>
      </c>
      <c r="E1372" s="4">
        <f t="shared" si="127"/>
        <v>4.3329960363984671E-3</v>
      </c>
      <c r="F1372" s="6">
        <f t="shared" si="128"/>
        <v>-1.3969884500645981E-2</v>
      </c>
      <c r="G1372" s="4">
        <f t="shared" si="131"/>
        <v>1.8193368280578437E-2</v>
      </c>
      <c r="H1372" s="4">
        <f t="shared" si="129"/>
        <v>-0.76785586292775387</v>
      </c>
      <c r="I1372" s="4">
        <f t="shared" si="130"/>
        <v>-1.2137398463209355</v>
      </c>
    </row>
    <row r="1373" spans="1:9" x14ac:dyDescent="0.25">
      <c r="A1373" s="3">
        <v>42171</v>
      </c>
      <c r="B1373" s="4" t="s">
        <v>0</v>
      </c>
      <c r="C1373" s="4">
        <v>528.15002400000003</v>
      </c>
      <c r="D1373" s="6">
        <f t="shared" si="126"/>
        <v>1.8019954066313929E-3</v>
      </c>
      <c r="E1373" s="4">
        <f t="shared" si="127"/>
        <v>-2.8174341144602041E-3</v>
      </c>
      <c r="F1373" s="6">
        <f t="shared" si="128"/>
        <v>4.6194295210915965E-3</v>
      </c>
      <c r="G1373" s="4">
        <f t="shared" si="131"/>
        <v>2.7745494994381559E-2</v>
      </c>
      <c r="H1373" s="4">
        <f t="shared" si="129"/>
        <v>0.16649295757841145</v>
      </c>
      <c r="I1373" s="4">
        <f t="shared" si="130"/>
        <v>-0.9327984856662761</v>
      </c>
    </row>
    <row r="1374" spans="1:9" x14ac:dyDescent="0.25">
      <c r="A1374" s="3">
        <v>42172</v>
      </c>
      <c r="B1374" s="4" t="s">
        <v>0</v>
      </c>
      <c r="C1374" s="4">
        <v>529.26000999999997</v>
      </c>
      <c r="D1374" s="6">
        <f t="shared" si="126"/>
        <v>2.1016490572003366E-3</v>
      </c>
      <c r="E1374" s="4">
        <f t="shared" si="127"/>
        <v>-4.9900295695617485E-3</v>
      </c>
      <c r="F1374" s="6">
        <f t="shared" si="128"/>
        <v>7.0916786267620855E-3</v>
      </c>
      <c r="G1374" s="4">
        <f t="shared" si="131"/>
        <v>1.3027859945574604E-2</v>
      </c>
      <c r="H1374" s="4">
        <f t="shared" si="129"/>
        <v>0.54434716495175695</v>
      </c>
      <c r="I1374" s="4">
        <f t="shared" si="130"/>
        <v>-1.0670954512001802</v>
      </c>
    </row>
    <row r="1375" spans="1:9" x14ac:dyDescent="0.25">
      <c r="A1375" s="3">
        <v>42173</v>
      </c>
      <c r="B1375" s="4" t="s">
        <v>0</v>
      </c>
      <c r="C1375" s="4">
        <v>536.72997999999995</v>
      </c>
      <c r="D1375" s="6">
        <f t="shared" si="126"/>
        <v>1.4113989076937799E-2</v>
      </c>
      <c r="E1375" s="4">
        <f t="shared" si="127"/>
        <v>-2.2624109834052069E-3</v>
      </c>
      <c r="F1375" s="6">
        <f t="shared" si="128"/>
        <v>1.6376400060343004E-2</v>
      </c>
      <c r="G1375" s="4">
        <f t="shared" si="131"/>
        <v>1.999256003866481E-2</v>
      </c>
      <c r="H1375" s="4">
        <f t="shared" si="129"/>
        <v>0.81912471582787305</v>
      </c>
      <c r="I1375" s="4">
        <f t="shared" si="130"/>
        <v>-1.2544211832447196</v>
      </c>
    </row>
    <row r="1376" spans="1:9" x14ac:dyDescent="0.25">
      <c r="A1376" s="3">
        <v>42174</v>
      </c>
      <c r="B1376" s="4" t="s">
        <v>0</v>
      </c>
      <c r="C1376" s="4">
        <v>536.69000200000005</v>
      </c>
      <c r="D1376" s="6">
        <f t="shared" si="126"/>
        <v>-7.4484380395344198E-5</v>
      </c>
      <c r="E1376" s="4">
        <f t="shared" si="127"/>
        <v>1.3555641177196622E-3</v>
      </c>
      <c r="F1376" s="6">
        <f t="shared" si="128"/>
        <v>-1.4300484981150064E-3</v>
      </c>
      <c r="G1376" s="4">
        <f t="shared" si="131"/>
        <v>2.9596936757188597E-2</v>
      </c>
      <c r="H1376" s="4">
        <f t="shared" si="129"/>
        <v>-4.8317449533613367E-2</v>
      </c>
      <c r="I1376" s="4">
        <f t="shared" si="130"/>
        <v>-0.92010582116938922</v>
      </c>
    </row>
    <row r="1377" spans="1:9" x14ac:dyDescent="0.25">
      <c r="A1377" s="3">
        <v>42177</v>
      </c>
      <c r="B1377" s="4" t="s">
        <v>0</v>
      </c>
      <c r="C1377" s="4">
        <v>538.19000200000005</v>
      </c>
      <c r="D1377" s="6">
        <f t="shared" si="126"/>
        <v>2.7949095276792579E-3</v>
      </c>
      <c r="E1377" s="4">
        <f t="shared" si="127"/>
        <v>6.0391178793018753E-3</v>
      </c>
      <c r="F1377" s="6">
        <f t="shared" si="128"/>
        <v>-3.2442083516226175E-3</v>
      </c>
      <c r="G1377" s="4">
        <f t="shared" si="131"/>
        <v>1.2457755992878626E-2</v>
      </c>
      <c r="H1377" s="4">
        <f t="shared" si="129"/>
        <v>-0.26041675189955099</v>
      </c>
      <c r="I1377" s="4">
        <f t="shared" si="130"/>
        <v>-0.95284697553962872</v>
      </c>
    </row>
    <row r="1378" spans="1:9" x14ac:dyDescent="0.25">
      <c r="A1378" s="3">
        <v>42178</v>
      </c>
      <c r="B1378" s="4" t="s">
        <v>0</v>
      </c>
      <c r="C1378" s="4">
        <v>540.47997999999995</v>
      </c>
      <c r="D1378" s="6">
        <f t="shared" si="126"/>
        <v>4.2549619864545628E-3</v>
      </c>
      <c r="E1378" s="4">
        <f t="shared" si="127"/>
        <v>4.2940224446346474E-3</v>
      </c>
      <c r="F1378" s="6">
        <f t="shared" si="128"/>
        <v>-3.9060458180084634E-5</v>
      </c>
      <c r="G1378" s="4">
        <f t="shared" si="131"/>
        <v>1.1293692891077024E-2</v>
      </c>
      <c r="H1378" s="4">
        <f t="shared" si="129"/>
        <v>-3.4586081414473128E-3</v>
      </c>
      <c r="I1378" s="4">
        <f t="shared" si="130"/>
        <v>-0.91894451418981071</v>
      </c>
    </row>
    <row r="1379" spans="1:9" x14ac:dyDescent="0.25">
      <c r="A1379" s="3">
        <v>42179</v>
      </c>
      <c r="B1379" s="4" t="s">
        <v>0</v>
      </c>
      <c r="C1379" s="4">
        <v>537.84002699999996</v>
      </c>
      <c r="D1379" s="6">
        <f t="shared" si="126"/>
        <v>-4.8844602902775262E-3</v>
      </c>
      <c r="E1379" s="4">
        <f t="shared" si="127"/>
        <v>1.045709920000748E-3</v>
      </c>
      <c r="F1379" s="6">
        <f t="shared" si="128"/>
        <v>-5.9301702102782742E-3</v>
      </c>
      <c r="G1379" s="4">
        <f t="shared" si="131"/>
        <v>6.5868545341191478E-3</v>
      </c>
      <c r="H1379" s="4">
        <f t="shared" si="129"/>
        <v>-0.90030380655298758</v>
      </c>
      <c r="I1379" s="4">
        <f t="shared" si="130"/>
        <v>-1.3242120052515722</v>
      </c>
    </row>
    <row r="1380" spans="1:9" x14ac:dyDescent="0.25">
      <c r="A1380" s="3">
        <v>42180</v>
      </c>
      <c r="B1380" s="4" t="s">
        <v>0</v>
      </c>
      <c r="C1380" s="4">
        <v>535.22997999999995</v>
      </c>
      <c r="D1380" s="6">
        <f t="shared" si="126"/>
        <v>-4.8528314535429863E-3</v>
      </c>
      <c r="E1380" s="4">
        <f t="shared" si="127"/>
        <v>2.4824330731111613E-3</v>
      </c>
      <c r="F1380" s="6">
        <f t="shared" si="128"/>
        <v>-7.3352645266541476E-3</v>
      </c>
      <c r="G1380" s="4">
        <f t="shared" si="131"/>
        <v>3.1448570333332412E-2</v>
      </c>
      <c r="H1380" s="4">
        <f t="shared" si="129"/>
        <v>-0.23324635902063515</v>
      </c>
      <c r="I1380" s="4">
        <f t="shared" si="130"/>
        <v>-0.9461404652028641</v>
      </c>
    </row>
    <row r="1381" spans="1:9" x14ac:dyDescent="0.25">
      <c r="A1381" s="3">
        <v>42181</v>
      </c>
      <c r="B1381" s="4" t="s">
        <v>0</v>
      </c>
      <c r="C1381" s="4">
        <v>531.69000200000005</v>
      </c>
      <c r="D1381" s="6">
        <f t="shared" si="126"/>
        <v>-6.6139381803685697E-3</v>
      </c>
      <c r="E1381" s="4">
        <f t="shared" si="127"/>
        <v>-5.6423319274843931E-4</v>
      </c>
      <c r="F1381" s="6">
        <f t="shared" si="128"/>
        <v>-6.0497049876201301E-3</v>
      </c>
      <c r="G1381" s="4">
        <f t="shared" si="131"/>
        <v>1.5270981771910162E-2</v>
      </c>
      <c r="H1381" s="4">
        <f t="shared" si="129"/>
        <v>-0.39615691237010797</v>
      </c>
      <c r="I1381" s="4">
        <f t="shared" si="130"/>
        <v>-0.99740868281398132</v>
      </c>
    </row>
    <row r="1382" spans="1:9" x14ac:dyDescent="0.25">
      <c r="A1382" s="3">
        <v>42184</v>
      </c>
      <c r="B1382" s="4" t="s">
        <v>0</v>
      </c>
      <c r="C1382" s="4">
        <v>521.52002000000005</v>
      </c>
      <c r="D1382" s="6">
        <f t="shared" si="126"/>
        <v>-1.9127653259878308E-2</v>
      </c>
      <c r="E1382" s="4">
        <f t="shared" si="127"/>
        <v>-3.3511456579521652E-3</v>
      </c>
      <c r="F1382" s="6">
        <f t="shared" si="128"/>
        <v>-1.5776507601926143E-2</v>
      </c>
      <c r="G1382" s="4">
        <f t="shared" si="131"/>
        <v>1.5628212931332489E-2</v>
      </c>
      <c r="H1382" s="4">
        <f t="shared" si="129"/>
        <v>-1.0094889077366191</v>
      </c>
      <c r="I1382" s="4">
        <f t="shared" si="130"/>
        <v>-1.4284724606263086</v>
      </c>
    </row>
    <row r="1383" spans="1:9" x14ac:dyDescent="0.25">
      <c r="A1383" s="3">
        <v>42185</v>
      </c>
      <c r="B1383" s="4" t="s">
        <v>0</v>
      </c>
      <c r="C1383" s="4">
        <v>520.51000999999997</v>
      </c>
      <c r="D1383" s="6">
        <f t="shared" si="126"/>
        <v>-1.9366658254079665E-3</v>
      </c>
      <c r="E1383" s="4">
        <f t="shared" si="127"/>
        <v>-4.0149440337512174E-3</v>
      </c>
      <c r="F1383" s="6">
        <f t="shared" si="128"/>
        <v>2.0782782083432509E-3</v>
      </c>
      <c r="G1383" s="4">
        <f t="shared" si="131"/>
        <v>3.5562786903486389E-2</v>
      </c>
      <c r="H1383" s="4">
        <f t="shared" si="129"/>
        <v>5.8439689048652918E-2</v>
      </c>
      <c r="I1383" s="4">
        <f t="shared" si="130"/>
        <v>-0.92064613183272426</v>
      </c>
    </row>
    <row r="1384" spans="1:9" x14ac:dyDescent="0.25">
      <c r="A1384" s="3">
        <v>42186</v>
      </c>
      <c r="B1384" s="4" t="s">
        <v>0</v>
      </c>
      <c r="C1384" s="4">
        <v>521.84002699999996</v>
      </c>
      <c r="D1384" s="6">
        <f t="shared" si="126"/>
        <v>2.5552188708147959E-3</v>
      </c>
      <c r="E1384" s="4">
        <f t="shared" si="127"/>
        <v>-9.3376762475323762E-3</v>
      </c>
      <c r="F1384" s="6">
        <f t="shared" si="128"/>
        <v>1.1892895118347173E-2</v>
      </c>
      <c r="G1384" s="4">
        <f t="shared" si="131"/>
        <v>1.4598643745596249E-2</v>
      </c>
      <c r="H1384" s="4">
        <f t="shared" si="129"/>
        <v>0.81465753432983945</v>
      </c>
      <c r="I1384" s="4">
        <f t="shared" si="130"/>
        <v>-1.2507719823248593</v>
      </c>
    </row>
    <row r="1385" spans="1:9" x14ac:dyDescent="0.25">
      <c r="A1385" s="3">
        <v>42187</v>
      </c>
      <c r="B1385" s="4" t="s">
        <v>0</v>
      </c>
      <c r="C1385" s="4">
        <v>523.40002400000003</v>
      </c>
      <c r="D1385" s="6">
        <f t="shared" si="126"/>
        <v>2.9894161415104838E-3</v>
      </c>
      <c r="E1385" s="4">
        <f t="shared" si="127"/>
        <v>-6.5981821145620883E-3</v>
      </c>
      <c r="F1385" s="6">
        <f t="shared" si="128"/>
        <v>9.5875982560725721E-3</v>
      </c>
      <c r="G1385" s="4">
        <f t="shared" si="131"/>
        <v>2.8985582366014513E-2</v>
      </c>
      <c r="H1385" s="4">
        <f t="shared" si="129"/>
        <v>0.33077128259855132</v>
      </c>
      <c r="I1385" s="4">
        <f t="shared" si="130"/>
        <v>-0.97364335390061807</v>
      </c>
    </row>
    <row r="1386" spans="1:9" x14ac:dyDescent="0.25">
      <c r="A1386" s="3">
        <v>42191</v>
      </c>
      <c r="B1386" s="4" t="s">
        <v>0</v>
      </c>
      <c r="C1386" s="4">
        <v>522.85998500000005</v>
      </c>
      <c r="D1386" s="6">
        <f t="shared" si="126"/>
        <v>-1.0317901704948696E-3</v>
      </c>
      <c r="E1386" s="4">
        <f t="shared" si="127"/>
        <v>3.8375866531809618E-4</v>
      </c>
      <c r="F1386" s="6">
        <f t="shared" si="128"/>
        <v>-1.4155488358129657E-3</v>
      </c>
      <c r="G1386" s="4">
        <f t="shared" si="131"/>
        <v>1.6628828492875652E-2</v>
      </c>
      <c r="H1386" s="4">
        <f t="shared" si="129"/>
        <v>-8.5126191326071729E-2</v>
      </c>
      <c r="I1386" s="4">
        <f t="shared" si="130"/>
        <v>-0.92256176742951412</v>
      </c>
    </row>
    <row r="1387" spans="1:9" x14ac:dyDescent="0.25">
      <c r="A1387" s="3">
        <v>42192</v>
      </c>
      <c r="B1387" s="4" t="s">
        <v>0</v>
      </c>
      <c r="C1387" s="4">
        <v>525.02002000000005</v>
      </c>
      <c r="D1387" s="6">
        <f t="shared" si="126"/>
        <v>4.1311920245723013E-3</v>
      </c>
      <c r="E1387" s="4">
        <f t="shared" si="127"/>
        <v>1.925312458206164E-3</v>
      </c>
      <c r="F1387" s="6">
        <f t="shared" si="128"/>
        <v>2.2058795663661371E-3</v>
      </c>
      <c r="G1387" s="4">
        <f t="shared" si="131"/>
        <v>8.5816616477535218E-3</v>
      </c>
      <c r="H1387" s="4">
        <f t="shared" si="129"/>
        <v>0.25704573973078804</v>
      </c>
      <c r="I1387" s="4">
        <f t="shared" si="130"/>
        <v>-0.95197478936154656</v>
      </c>
    </row>
    <row r="1388" spans="1:9" x14ac:dyDescent="0.25">
      <c r="A1388" s="3">
        <v>42193</v>
      </c>
      <c r="B1388" s="4" t="s">
        <v>0</v>
      </c>
      <c r="C1388" s="4">
        <v>516.830017</v>
      </c>
      <c r="D1388" s="6">
        <f t="shared" si="126"/>
        <v>-1.5599410856751799E-2</v>
      </c>
      <c r="E1388" s="4">
        <f t="shared" si="127"/>
        <v>5.2116599200256882E-4</v>
      </c>
      <c r="F1388" s="6">
        <f t="shared" si="128"/>
        <v>-1.6120576848754366E-2</v>
      </c>
      <c r="G1388" s="4">
        <f t="shared" si="131"/>
        <v>1.0658429507468309E-2</v>
      </c>
      <c r="H1388" s="4">
        <f t="shared" si="129"/>
        <v>-1.512472061428821</v>
      </c>
      <c r="I1388" s="4">
        <f t="shared" si="130"/>
        <v>-2.0627244015060464</v>
      </c>
    </row>
    <row r="1389" spans="1:9" x14ac:dyDescent="0.25">
      <c r="A1389" s="3">
        <v>42194</v>
      </c>
      <c r="B1389" s="4" t="s">
        <v>0</v>
      </c>
      <c r="C1389" s="4">
        <v>520.67999299999997</v>
      </c>
      <c r="D1389" s="6">
        <f t="shared" si="126"/>
        <v>7.4492112945521308E-3</v>
      </c>
      <c r="E1389" s="4">
        <f t="shared" si="127"/>
        <v>1.2629688407640451E-3</v>
      </c>
      <c r="F1389" s="6">
        <f t="shared" si="128"/>
        <v>6.1862424537880859E-3</v>
      </c>
      <c r="G1389" s="4">
        <f t="shared" si="131"/>
        <v>5.2390766117992302E-2</v>
      </c>
      <c r="H1389" s="4">
        <f t="shared" si="129"/>
        <v>0.11807886984999777</v>
      </c>
      <c r="I1389" s="4">
        <f t="shared" si="130"/>
        <v>-0.92590984295719903</v>
      </c>
    </row>
    <row r="1390" spans="1:9" x14ac:dyDescent="0.25">
      <c r="A1390" s="3">
        <v>42195</v>
      </c>
      <c r="B1390" s="4" t="s">
        <v>0</v>
      </c>
      <c r="C1390" s="4">
        <v>530.13000499999998</v>
      </c>
      <c r="D1390" s="6">
        <f t="shared" si="126"/>
        <v>1.8149366457412577E-2</v>
      </c>
      <c r="E1390" s="4">
        <f t="shared" si="127"/>
        <v>-4.6979948898542585E-3</v>
      </c>
      <c r="F1390" s="6">
        <f t="shared" si="128"/>
        <v>2.2847361347266837E-2</v>
      </c>
      <c r="G1390" s="4">
        <f t="shared" si="131"/>
        <v>2.1005821512473287E-2</v>
      </c>
      <c r="H1390" s="4">
        <f t="shared" si="129"/>
        <v>1.0876680701918771</v>
      </c>
      <c r="I1390" s="4">
        <f t="shared" si="130"/>
        <v>-1.5104494486621338</v>
      </c>
    </row>
    <row r="1391" spans="1:9" x14ac:dyDescent="0.25">
      <c r="A1391" s="3">
        <v>42198</v>
      </c>
      <c r="B1391" s="4" t="s">
        <v>0</v>
      </c>
      <c r="C1391" s="4">
        <v>546.54998799999998</v>
      </c>
      <c r="D1391" s="6">
        <f t="shared" si="126"/>
        <v>3.0973502433615321E-2</v>
      </c>
      <c r="E1391" s="4">
        <f t="shared" si="127"/>
        <v>-1.9293124302640994E-3</v>
      </c>
      <c r="F1391" s="6">
        <f t="shared" si="128"/>
        <v>3.2902814863879422E-2</v>
      </c>
      <c r="G1391" s="4">
        <f t="shared" si="131"/>
        <v>3.8563981696519915E-2</v>
      </c>
      <c r="H1391" s="4">
        <f t="shared" si="129"/>
        <v>0.85320066591693855</v>
      </c>
      <c r="I1391" s="4">
        <f t="shared" si="130"/>
        <v>-1.2829142213652263</v>
      </c>
    </row>
    <row r="1392" spans="1:9" x14ac:dyDescent="0.25">
      <c r="A1392" s="3">
        <v>42199</v>
      </c>
      <c r="B1392" s="4" t="s">
        <v>0</v>
      </c>
      <c r="C1392" s="4">
        <v>561.09997599999997</v>
      </c>
      <c r="D1392" s="6">
        <f t="shared" si="126"/>
        <v>2.6621513712301068E-2</v>
      </c>
      <c r="E1392" s="4">
        <f t="shared" si="127"/>
        <v>9.2200825142100627E-3</v>
      </c>
      <c r="F1392" s="6">
        <f t="shared" si="128"/>
        <v>1.7401431198091004E-2</v>
      </c>
      <c r="G1392" s="4">
        <f t="shared" si="131"/>
        <v>3.3193315092206584E-2</v>
      </c>
      <c r="H1392" s="4">
        <f t="shared" si="129"/>
        <v>0.5242450520459363</v>
      </c>
      <c r="I1392" s="4">
        <f t="shared" si="130"/>
        <v>-1.0563549705019959</v>
      </c>
    </row>
    <row r="1393" spans="1:9" x14ac:dyDescent="0.25">
      <c r="A1393" s="3">
        <v>42200</v>
      </c>
      <c r="B1393" s="4" t="s">
        <v>0</v>
      </c>
      <c r="C1393" s="4">
        <v>560.21997099999999</v>
      </c>
      <c r="D1393" s="6">
        <f t="shared" si="126"/>
        <v>-1.56835686622803E-3</v>
      </c>
      <c r="E1393" s="4">
        <f t="shared" si="127"/>
        <v>1.739934232496209E-2</v>
      </c>
      <c r="F1393" s="6">
        <f t="shared" si="128"/>
        <v>-1.896769919119012E-2</v>
      </c>
      <c r="G1393" s="4">
        <f t="shared" si="131"/>
        <v>2.2586303560451902E-2</v>
      </c>
      <c r="H1393" s="4">
        <f t="shared" si="129"/>
        <v>-0.83978766779713898</v>
      </c>
      <c r="I1393" s="4">
        <f t="shared" si="130"/>
        <v>-1.2715601966967516</v>
      </c>
    </row>
    <row r="1394" spans="1:9" x14ac:dyDescent="0.25">
      <c r="A1394" s="3">
        <v>42201</v>
      </c>
      <c r="B1394" s="4" t="s">
        <v>0</v>
      </c>
      <c r="C1394" s="4">
        <v>579.84997599999997</v>
      </c>
      <c r="D1394" s="6">
        <f t="shared" si="126"/>
        <v>3.503981652949674E-2</v>
      </c>
      <c r="E1394" s="4">
        <f t="shared" si="127"/>
        <v>1.9662523693164825E-2</v>
      </c>
      <c r="F1394" s="6">
        <f t="shared" si="128"/>
        <v>1.5377292836331914E-2</v>
      </c>
      <c r="G1394" s="4">
        <f t="shared" si="131"/>
        <v>3.0538204990185284E-2</v>
      </c>
      <c r="H1394" s="4">
        <f t="shared" si="129"/>
        <v>0.50354278652835172</v>
      </c>
      <c r="I1394" s="4">
        <f t="shared" si="130"/>
        <v>-1.0457162021370414</v>
      </c>
    </row>
    <row r="1395" spans="1:9" x14ac:dyDescent="0.25">
      <c r="A1395" s="3">
        <v>42202</v>
      </c>
      <c r="B1395" s="4" t="s">
        <v>0</v>
      </c>
      <c r="C1395" s="4">
        <v>672.92999299999997</v>
      </c>
      <c r="D1395" s="6">
        <f t="shared" si="126"/>
        <v>0.16052430948104413</v>
      </c>
      <c r="E1395" s="4">
        <f t="shared" si="127"/>
        <v>7.5540480305354967E-3</v>
      </c>
      <c r="F1395" s="6">
        <f t="shared" si="128"/>
        <v>0.15297026145050863</v>
      </c>
      <c r="G1395" s="4">
        <f t="shared" si="131"/>
        <v>2.1455460758877172E-2</v>
      </c>
      <c r="H1395" s="4">
        <f t="shared" si="129"/>
        <v>7.1296656440816522</v>
      </c>
      <c r="I1395" s="4">
        <f t="shared" si="130"/>
        <v>-26.335004631403795</v>
      </c>
    </row>
    <row r="1396" spans="1:9" x14ac:dyDescent="0.25">
      <c r="A1396" s="3">
        <v>42205</v>
      </c>
      <c r="B1396" s="4" t="s">
        <v>0</v>
      </c>
      <c r="C1396" s="4">
        <v>663.02002000000005</v>
      </c>
      <c r="D1396" s="6">
        <f t="shared" si="126"/>
        <v>-1.472660321740173E-2</v>
      </c>
      <c r="E1396" s="4">
        <f t="shared" si="127"/>
        <v>1.2917891383241181E-2</v>
      </c>
      <c r="F1396" s="6">
        <f t="shared" si="128"/>
        <v>-2.7644494600642909E-2</v>
      </c>
      <c r="G1396" s="4">
        <f t="shared" si="131"/>
        <v>0.24528611077449097</v>
      </c>
      <c r="H1396" s="4">
        <f t="shared" si="129"/>
        <v>-0.11270305731276593</v>
      </c>
      <c r="I1396" s="4">
        <f t="shared" si="130"/>
        <v>-0.92528952276849508</v>
      </c>
    </row>
    <row r="1397" spans="1:9" x14ac:dyDescent="0.25">
      <c r="A1397" s="3">
        <v>42206</v>
      </c>
      <c r="B1397" s="4" t="s">
        <v>0</v>
      </c>
      <c r="C1397" s="4">
        <v>662.29998799999998</v>
      </c>
      <c r="D1397" s="6">
        <f t="shared" si="126"/>
        <v>-1.0859883235502603E-3</v>
      </c>
      <c r="E1397" s="4">
        <f t="shared" si="127"/>
        <v>7.209583416295659E-2</v>
      </c>
      <c r="F1397" s="6">
        <f t="shared" si="128"/>
        <v>-7.3181822486506856E-2</v>
      </c>
      <c r="G1397" s="4">
        <f t="shared" si="131"/>
        <v>9.3847239258354892E-2</v>
      </c>
      <c r="H1397" s="4">
        <f t="shared" si="129"/>
        <v>-0.77979728615183252</v>
      </c>
      <c r="I1397" s="4">
        <f t="shared" si="130"/>
        <v>-1.2229804369495543</v>
      </c>
    </row>
    <row r="1398" spans="1:9" x14ac:dyDescent="0.25">
      <c r="A1398" s="3">
        <v>42207</v>
      </c>
      <c r="B1398" s="4" t="s">
        <v>0</v>
      </c>
      <c r="C1398" s="4">
        <v>662.09997599999997</v>
      </c>
      <c r="D1398" s="6">
        <f t="shared" si="126"/>
        <v>-3.0199607975836952E-4</v>
      </c>
      <c r="E1398" s="4">
        <f t="shared" si="127"/>
        <v>4.3531228807896998E-2</v>
      </c>
      <c r="F1398" s="6">
        <f t="shared" si="128"/>
        <v>-4.383322488765537E-2</v>
      </c>
      <c r="G1398" s="4">
        <f t="shared" si="131"/>
        <v>4.5020576027081136E-2</v>
      </c>
      <c r="H1398" s="4">
        <f t="shared" si="129"/>
        <v>-0.97362647828602766</v>
      </c>
      <c r="I1398" s="4">
        <f t="shared" si="130"/>
        <v>-1.3929127928144991</v>
      </c>
    </row>
    <row r="1399" spans="1:9" x14ac:dyDescent="0.25">
      <c r="A1399" s="3">
        <v>42208</v>
      </c>
      <c r="B1399" s="4" t="s">
        <v>0</v>
      </c>
      <c r="C1399" s="4">
        <v>644.28002900000001</v>
      </c>
      <c r="D1399" s="6">
        <f t="shared" si="126"/>
        <v>-2.6914284316482073E-2</v>
      </c>
      <c r="E1399" s="4">
        <f t="shared" si="127"/>
        <v>-4.9252116185766514E-3</v>
      </c>
      <c r="F1399" s="6">
        <f t="shared" si="128"/>
        <v>-2.1989072697905423E-2</v>
      </c>
      <c r="G1399" s="4">
        <f t="shared" si="131"/>
        <v>3.7953019800041496E-2</v>
      </c>
      <c r="H1399" s="4">
        <f t="shared" si="129"/>
        <v>-0.57937610271215834</v>
      </c>
      <c r="I1399" s="4">
        <f t="shared" si="130"/>
        <v>-1.0867768674016374</v>
      </c>
    </row>
    <row r="1400" spans="1:9" x14ac:dyDescent="0.25">
      <c r="A1400" s="3">
        <v>42209</v>
      </c>
      <c r="B1400" s="4" t="s">
        <v>0</v>
      </c>
      <c r="C1400" s="4">
        <v>623.55999799999995</v>
      </c>
      <c r="D1400" s="6">
        <f t="shared" si="126"/>
        <v>-3.2159977133173041E-2</v>
      </c>
      <c r="E1400" s="4">
        <f t="shared" si="127"/>
        <v>-4.4857144084809494E-4</v>
      </c>
      <c r="F1400" s="6">
        <f t="shared" si="128"/>
        <v>-3.1711405692324945E-2</v>
      </c>
      <c r="G1400" s="4">
        <f t="shared" si="131"/>
        <v>2.5127545158390999E-2</v>
      </c>
      <c r="H1400" s="4">
        <f t="shared" si="129"/>
        <v>-1.2620176580096745</v>
      </c>
      <c r="I1400" s="4">
        <f t="shared" si="130"/>
        <v>-1.7152828177687847</v>
      </c>
    </row>
    <row r="1401" spans="1:9" x14ac:dyDescent="0.25">
      <c r="A1401" s="3">
        <v>42212</v>
      </c>
      <c r="B1401" s="4" t="s">
        <v>0</v>
      </c>
      <c r="C1401" s="4">
        <v>627.26000999999997</v>
      </c>
      <c r="D1401" s="6">
        <f t="shared" si="126"/>
        <v>5.9336904417656624E-3</v>
      </c>
      <c r="E1401" s="4">
        <f t="shared" si="127"/>
        <v>-1.038190171195108E-2</v>
      </c>
      <c r="F1401" s="6">
        <f t="shared" si="128"/>
        <v>1.6315592153716744E-2</v>
      </c>
      <c r="G1401" s="4">
        <f t="shared" si="131"/>
        <v>4.471055811961519E-2</v>
      </c>
      <c r="H1401" s="4">
        <f t="shared" si="129"/>
        <v>0.3649158686426428</v>
      </c>
      <c r="I1401" s="4">
        <f t="shared" si="130"/>
        <v>-0.98552032879828</v>
      </c>
    </row>
    <row r="1402" spans="1:9" x14ac:dyDescent="0.25">
      <c r="A1402" s="3">
        <v>42213</v>
      </c>
      <c r="B1402" s="4" t="s">
        <v>0</v>
      </c>
      <c r="C1402" s="4">
        <v>628</v>
      </c>
      <c r="D1402" s="6">
        <f t="shared" si="126"/>
        <v>1.1797181204011944E-3</v>
      </c>
      <c r="E1402" s="4">
        <f t="shared" si="127"/>
        <v>-2.0536531319133425E-2</v>
      </c>
      <c r="F1402" s="6">
        <f t="shared" si="128"/>
        <v>2.171624943953462E-2</v>
      </c>
      <c r="G1402" s="4">
        <f t="shared" si="131"/>
        <v>2.1759255324472128E-2</v>
      </c>
      <c r="H1402" s="4">
        <f t="shared" si="129"/>
        <v>0.99802355897312622</v>
      </c>
      <c r="I1402" s="4">
        <f t="shared" si="130"/>
        <v>-1.4169640453373653</v>
      </c>
    </row>
    <row r="1403" spans="1:9" x14ac:dyDescent="0.25">
      <c r="A1403" s="3">
        <v>42214</v>
      </c>
      <c r="B1403" s="4" t="s">
        <v>0</v>
      </c>
      <c r="C1403" s="4">
        <v>631.92999299999997</v>
      </c>
      <c r="D1403" s="6">
        <f t="shared" si="126"/>
        <v>6.2579506369426236E-3</v>
      </c>
      <c r="E1403" s="4">
        <f t="shared" si="127"/>
        <v>-7.5807140070372038E-3</v>
      </c>
      <c r="F1403" s="6">
        <f t="shared" si="128"/>
        <v>1.3838664643979828E-2</v>
      </c>
      <c r="G1403" s="4">
        <f t="shared" si="131"/>
        <v>3.5649879643608814E-2</v>
      </c>
      <c r="H1403" s="4">
        <f t="shared" si="129"/>
        <v>0.38818264696331944</v>
      </c>
      <c r="I1403" s="4">
        <f t="shared" si="130"/>
        <v>-0.99428141690639715</v>
      </c>
    </row>
    <row r="1404" spans="1:9" x14ac:dyDescent="0.25">
      <c r="A1404" s="3">
        <v>42215</v>
      </c>
      <c r="B1404" s="4" t="s">
        <v>0</v>
      </c>
      <c r="C1404" s="4">
        <v>632.59002699999996</v>
      </c>
      <c r="D1404" s="6">
        <f t="shared" si="126"/>
        <v>1.0444732918381927E-3</v>
      </c>
      <c r="E1404" s="4">
        <f t="shared" si="127"/>
        <v>2.2683127033313291E-3</v>
      </c>
      <c r="F1404" s="6">
        <f t="shared" si="128"/>
        <v>-1.2238394114931364E-3</v>
      </c>
      <c r="G1404" s="4">
        <f t="shared" si="131"/>
        <v>1.96994552468008E-2</v>
      </c>
      <c r="H1404" s="4">
        <f t="shared" si="129"/>
        <v>-6.2125545917920168E-2</v>
      </c>
      <c r="I1404" s="4">
        <f t="shared" si="130"/>
        <v>-0.9208683249324725</v>
      </c>
    </row>
    <row r="1405" spans="1:9" x14ac:dyDescent="0.25">
      <c r="A1405" s="3">
        <v>42216</v>
      </c>
      <c r="B1405" s="4" t="s">
        <v>0</v>
      </c>
      <c r="C1405" s="4">
        <v>625.60998500000005</v>
      </c>
      <c r="D1405" s="6">
        <f t="shared" si="126"/>
        <v>-1.1034068989519356E-2</v>
      </c>
      <c r="E1405" s="4">
        <f t="shared" si="127"/>
        <v>2.7535966445326118E-3</v>
      </c>
      <c r="F1405" s="6">
        <f t="shared" si="128"/>
        <v>-1.3787665634051968E-2</v>
      </c>
      <c r="G1405" s="4">
        <f t="shared" si="131"/>
        <v>9.2681100383251325E-3</v>
      </c>
      <c r="H1405" s="4">
        <f t="shared" si="129"/>
        <v>-1.4876458713845373</v>
      </c>
      <c r="I1405" s="4">
        <f t="shared" si="130"/>
        <v>-2.0254836525284023</v>
      </c>
    </row>
    <row r="1406" spans="1:9" x14ac:dyDescent="0.25">
      <c r="A1406" s="3">
        <v>42219</v>
      </c>
      <c r="B1406" s="4" t="s">
        <v>0</v>
      </c>
      <c r="C1406" s="4">
        <v>631.21002199999998</v>
      </c>
      <c r="D1406" s="6">
        <f t="shared" si="126"/>
        <v>8.9513229236581459E-3</v>
      </c>
      <c r="E1406" s="4">
        <f t="shared" si="127"/>
        <v>2.3155709754018451E-3</v>
      </c>
      <c r="F1406" s="6">
        <f t="shared" si="128"/>
        <v>6.6357519482563004E-3</v>
      </c>
      <c r="G1406" s="4">
        <f t="shared" si="131"/>
        <v>5.1504688924714659E-2</v>
      </c>
      <c r="H1406" s="4">
        <f t="shared" si="129"/>
        <v>0.12883782208559497</v>
      </c>
      <c r="I1406" s="4">
        <f t="shared" si="130"/>
        <v>-0.9272381254045523</v>
      </c>
    </row>
    <row r="1407" spans="1:9" x14ac:dyDescent="0.25">
      <c r="A1407" s="3">
        <v>42220</v>
      </c>
      <c r="B1407" s="4" t="s">
        <v>0</v>
      </c>
      <c r="C1407" s="4">
        <v>629.25</v>
      </c>
      <c r="D1407" s="6">
        <f t="shared" si="126"/>
        <v>-3.1051820023224866E-3</v>
      </c>
      <c r="E1407" s="4">
        <f t="shared" si="127"/>
        <v>-3.8980439721825232E-3</v>
      </c>
      <c r="F1407" s="6">
        <f t="shared" si="128"/>
        <v>7.9286196986003664E-4</v>
      </c>
      <c r="G1407" s="4">
        <f t="shared" si="131"/>
        <v>2.0759788754515382E-2</v>
      </c>
      <c r="H1407" s="4">
        <f t="shared" si="129"/>
        <v>3.8192198352094711E-2</v>
      </c>
      <c r="I1407" s="4">
        <f t="shared" si="130"/>
        <v>-0.91966785521215566</v>
      </c>
    </row>
    <row r="1408" spans="1:9" x14ac:dyDescent="0.25">
      <c r="A1408" s="3">
        <v>42221</v>
      </c>
      <c r="B1408" s="4" t="s">
        <v>0</v>
      </c>
      <c r="C1408" s="4">
        <v>643.78002900000001</v>
      </c>
      <c r="D1408" s="6">
        <f t="shared" si="126"/>
        <v>2.3091027413587626E-2</v>
      </c>
      <c r="E1408" s="4">
        <f t="shared" si="127"/>
        <v>4.2634579476416665E-5</v>
      </c>
      <c r="F1408" s="6">
        <f t="shared" si="128"/>
        <v>2.3048392834111208E-2</v>
      </c>
      <c r="G1408" s="4">
        <f t="shared" si="131"/>
        <v>9.4505038738852843E-3</v>
      </c>
      <c r="H1408" s="4">
        <f t="shared" si="129"/>
        <v>2.4388533290591172</v>
      </c>
      <c r="I1408" s="4">
        <f t="shared" si="130"/>
        <v>-3.892941313536042</v>
      </c>
    </row>
    <row r="1409" spans="1:9" x14ac:dyDescent="0.25">
      <c r="A1409" s="3">
        <v>42222</v>
      </c>
      <c r="B1409" s="4" t="s">
        <v>0</v>
      </c>
      <c r="C1409" s="4">
        <v>642.67999299999997</v>
      </c>
      <c r="D1409" s="6">
        <f t="shared" si="126"/>
        <v>-1.7087140800387355E-3</v>
      </c>
      <c r="E1409" s="4">
        <f t="shared" si="127"/>
        <v>1.5547777254091655E-3</v>
      </c>
      <c r="F1409" s="6">
        <f t="shared" si="128"/>
        <v>-3.263491805447901E-3</v>
      </c>
      <c r="G1409" s="4">
        <f t="shared" si="131"/>
        <v>8.406636086357884E-2</v>
      </c>
      <c r="H1409" s="4">
        <f t="shared" si="129"/>
        <v>-3.8820424387631433E-2</v>
      </c>
      <c r="I1409" s="4">
        <f t="shared" si="130"/>
        <v>-0.91969204587949049</v>
      </c>
    </row>
    <row r="1410" spans="1:9" x14ac:dyDescent="0.25">
      <c r="A1410" s="3">
        <v>42223</v>
      </c>
      <c r="B1410" s="4" t="s">
        <v>0</v>
      </c>
      <c r="C1410" s="4">
        <v>635.29998799999998</v>
      </c>
      <c r="D1410" s="6">
        <f t="shared" si="126"/>
        <v>-1.1483172154699366E-2</v>
      </c>
      <c r="E1410" s="4">
        <f t="shared" si="127"/>
        <v>7.8762168526047057E-3</v>
      </c>
      <c r="F1410" s="6">
        <f t="shared" si="128"/>
        <v>-1.9359389007304072E-2</v>
      </c>
      <c r="G1410" s="4">
        <f t="shared" si="131"/>
        <v>3.250259354853275E-2</v>
      </c>
      <c r="H1410" s="4">
        <f t="shared" si="129"/>
        <v>-0.59562597607470014</v>
      </c>
      <c r="I1410" s="4">
        <f t="shared" si="130"/>
        <v>-1.0963236848921423</v>
      </c>
    </row>
    <row r="1411" spans="1:9" x14ac:dyDescent="0.25">
      <c r="A1411" s="3">
        <v>42226</v>
      </c>
      <c r="B1411" s="4" t="s">
        <v>0</v>
      </c>
      <c r="C1411" s="4">
        <v>633.72997999999995</v>
      </c>
      <c r="D1411" s="6">
        <f t="shared" si="126"/>
        <v>-2.4712860532905122E-3</v>
      </c>
      <c r="E1411" s="4">
        <f t="shared" si="127"/>
        <v>6.4182426795818797E-3</v>
      </c>
      <c r="F1411" s="6">
        <f t="shared" si="128"/>
        <v>-8.889528732872392E-3</v>
      </c>
      <c r="G1411" s="4">
        <f t="shared" si="131"/>
        <v>2.4454009159063338E-2</v>
      </c>
      <c r="H1411" s="4">
        <f t="shared" si="129"/>
        <v>-0.36352029947521652</v>
      </c>
      <c r="I1411" s="4">
        <f t="shared" si="130"/>
        <v>-0.98501203726994813</v>
      </c>
    </row>
    <row r="1412" spans="1:9" x14ac:dyDescent="0.25">
      <c r="A1412" s="3">
        <v>42227</v>
      </c>
      <c r="B1412" s="4" t="s">
        <v>0</v>
      </c>
      <c r="C1412" s="4">
        <v>660.78002900000001</v>
      </c>
      <c r="D1412" s="6">
        <f t="shared" ref="D1412:D1475" si="132">(C1412-C1411)/C1411</f>
        <v>4.2683871449477676E-2</v>
      </c>
      <c r="E1412" s="4">
        <f t="shared" si="127"/>
        <v>-4.9131249554184853E-3</v>
      </c>
      <c r="F1412" s="6">
        <f t="shared" si="128"/>
        <v>4.7596996404896161E-2</v>
      </c>
      <c r="G1412" s="4">
        <f t="shared" si="131"/>
        <v>1.6373750664137574E-2</v>
      </c>
      <c r="H1412" s="4">
        <f t="shared" si="129"/>
        <v>2.9069085868728264</v>
      </c>
      <c r="I1412" s="4">
        <f t="shared" si="130"/>
        <v>-5.1439972994221588</v>
      </c>
    </row>
    <row r="1413" spans="1:9" x14ac:dyDescent="0.25">
      <c r="A1413" s="3">
        <v>42228</v>
      </c>
      <c r="B1413" s="4" t="s">
        <v>0</v>
      </c>
      <c r="C1413" s="4">
        <v>659.55999799999995</v>
      </c>
      <c r="D1413" s="6">
        <f t="shared" si="132"/>
        <v>-1.846349687423835E-3</v>
      </c>
      <c r="E1413" s="4">
        <f t="shared" si="127"/>
        <v>-4.4606144891328019E-3</v>
      </c>
      <c r="F1413" s="6">
        <f t="shared" si="128"/>
        <v>2.6142648017089668E-3</v>
      </c>
      <c r="G1413" s="4">
        <f t="shared" si="131"/>
        <v>0.10025069721298061</v>
      </c>
      <c r="H1413" s="4">
        <f t="shared" si="129"/>
        <v>2.6077273020406168E-2</v>
      </c>
      <c r="I1413" s="4">
        <f t="shared" si="130"/>
        <v>-0.91927854528876307</v>
      </c>
    </row>
    <row r="1414" spans="1:9" x14ac:dyDescent="0.25">
      <c r="A1414" s="3">
        <v>42229</v>
      </c>
      <c r="B1414" s="4" t="s">
        <v>0</v>
      </c>
      <c r="C1414" s="4">
        <v>656.45001200000002</v>
      </c>
      <c r="D1414" s="6">
        <f t="shared" si="132"/>
        <v>-4.7152435099618271E-3</v>
      </c>
      <c r="E1414" s="4">
        <f t="shared" si="127"/>
        <v>1.5560283217595196E-2</v>
      </c>
      <c r="F1414" s="6">
        <f t="shared" si="128"/>
        <v>-2.0275526727557024E-2</v>
      </c>
      <c r="G1414" s="4">
        <f t="shared" si="131"/>
        <v>3.860236061990592E-2</v>
      </c>
      <c r="H1414" s="4">
        <f t="shared" si="129"/>
        <v>-0.52524059155858016</v>
      </c>
      <c r="I1414" s="4">
        <f t="shared" si="130"/>
        <v>-1.0568773727150762</v>
      </c>
    </row>
    <row r="1415" spans="1:9" x14ac:dyDescent="0.25">
      <c r="A1415" s="3">
        <v>42230</v>
      </c>
      <c r="B1415" s="4" t="s">
        <v>0</v>
      </c>
      <c r="C1415" s="4">
        <v>657.11999500000002</v>
      </c>
      <c r="D1415" s="6">
        <f t="shared" si="132"/>
        <v>1.0206154128305537E-3</v>
      </c>
      <c r="E1415" s="4">
        <f t="shared" ref="E1415:E1478" si="133">+$M$16*D1414+$M$17*D1413+$M$18*D1412</f>
        <v>1.2366114634612185E-2</v>
      </c>
      <c r="F1415" s="6">
        <f t="shared" ref="F1415:F1478" si="134">D1415-E1415</f>
        <v>-1.1345499221781631E-2</v>
      </c>
      <c r="G1415" s="4">
        <f t="shared" si="131"/>
        <v>2.3832060127426835E-2</v>
      </c>
      <c r="H1415" s="4">
        <f t="shared" ref="H1415:H1478" si="135">F1415/G1415</f>
        <v>-0.47606036411114966</v>
      </c>
      <c r="I1415" s="4">
        <f t="shared" ref="I1415:I1478" si="136">LN(_xlfn.NORM.DIST(H1415,0,1,FALSE))</f>
        <v>-1.0322552683434927</v>
      </c>
    </row>
    <row r="1416" spans="1:9" x14ac:dyDescent="0.25">
      <c r="A1416" s="3">
        <v>42233</v>
      </c>
      <c r="B1416" s="4" t="s">
        <v>0</v>
      </c>
      <c r="C1416" s="4">
        <v>660.86999500000002</v>
      </c>
      <c r="D1416" s="6">
        <f t="shared" si="132"/>
        <v>5.706720277169469E-3</v>
      </c>
      <c r="E1416" s="4">
        <f t="shared" si="133"/>
        <v>-2.3679678616454307E-3</v>
      </c>
      <c r="F1416" s="6">
        <f t="shared" si="134"/>
        <v>8.0746881388149006E-3</v>
      </c>
      <c r="G1416" s="4">
        <f t="shared" ref="G1416:G1479" si="137">SQRT($M$12 + $M$13 *H1415^2+$M$14*G1415^2)</f>
        <v>1.937491945069959E-2</v>
      </c>
      <c r="H1416" s="4">
        <f t="shared" si="135"/>
        <v>0.41675983011755641</v>
      </c>
      <c r="I1416" s="4">
        <f t="shared" si="136"/>
        <v>-1.0057829112044798</v>
      </c>
    </row>
    <row r="1417" spans="1:9" x14ac:dyDescent="0.25">
      <c r="A1417" s="3">
        <v>42234</v>
      </c>
      <c r="B1417" s="4" t="s">
        <v>0</v>
      </c>
      <c r="C1417" s="4">
        <v>656.13000499999998</v>
      </c>
      <c r="D1417" s="6">
        <f t="shared" si="132"/>
        <v>-7.1723486250878047E-3</v>
      </c>
      <c r="E1417" s="4">
        <f t="shared" si="133"/>
        <v>-1.0537795593234408E-3</v>
      </c>
      <c r="F1417" s="6">
        <f t="shared" si="134"/>
        <v>-6.1185690657643635E-3</v>
      </c>
      <c r="G1417" s="4">
        <f t="shared" si="137"/>
        <v>1.6874656565312209E-2</v>
      </c>
      <c r="H1417" s="4">
        <f t="shared" si="135"/>
        <v>-0.36258924986608521</v>
      </c>
      <c r="I1417" s="4">
        <f t="shared" si="136"/>
        <v>-0.98467401526389786</v>
      </c>
    </row>
    <row r="1418" spans="1:9" x14ac:dyDescent="0.25">
      <c r="A1418" s="3">
        <v>42235</v>
      </c>
      <c r="B1418" s="4" t="s">
        <v>0</v>
      </c>
      <c r="C1418" s="4">
        <v>660.90002400000003</v>
      </c>
      <c r="D1418" s="6">
        <f t="shared" si="132"/>
        <v>7.269929684133326E-3</v>
      </c>
      <c r="E1418" s="4">
        <f t="shared" si="133"/>
        <v>2.4939828403574989E-3</v>
      </c>
      <c r="F1418" s="6">
        <f t="shared" si="134"/>
        <v>4.7759468437758267E-3</v>
      </c>
      <c r="G1418" s="4">
        <f t="shared" si="137"/>
        <v>1.4888035693823956E-2</v>
      </c>
      <c r="H1418" s="4">
        <f t="shared" si="135"/>
        <v>0.32079093185926777</v>
      </c>
      <c r="I1418" s="4">
        <f t="shared" si="136"/>
        <v>-0.97039194418624142</v>
      </c>
    </row>
    <row r="1419" spans="1:9" x14ac:dyDescent="0.25">
      <c r="A1419" s="3">
        <v>42236</v>
      </c>
      <c r="B1419" s="4" t="s">
        <v>0</v>
      </c>
      <c r="C1419" s="4">
        <v>646.830017</v>
      </c>
      <c r="D1419" s="6">
        <f t="shared" si="132"/>
        <v>-2.1289160976032936E-2</v>
      </c>
      <c r="E1419" s="4">
        <f t="shared" si="133"/>
        <v>-9.9399870954100479E-4</v>
      </c>
      <c r="F1419" s="6">
        <f t="shared" si="134"/>
        <v>-2.0295162266491931E-2</v>
      </c>
      <c r="G1419" s="4">
        <f t="shared" si="137"/>
        <v>1.3367919744046204E-2</v>
      </c>
      <c r="H1419" s="4">
        <f t="shared" si="135"/>
        <v>-1.5181989909485341</v>
      </c>
      <c r="I1419" s="4">
        <f t="shared" si="136"/>
        <v>-2.0714026212632461</v>
      </c>
    </row>
    <row r="1420" spans="1:9" x14ac:dyDescent="0.25">
      <c r="A1420" s="3">
        <v>42237</v>
      </c>
      <c r="B1420" s="4" t="s">
        <v>0</v>
      </c>
      <c r="C1420" s="4">
        <v>612.47997999999995</v>
      </c>
      <c r="D1420" s="6">
        <f t="shared" si="132"/>
        <v>-5.3105199352552687E-2</v>
      </c>
      <c r="E1420" s="4">
        <f t="shared" si="133"/>
        <v>5.8216961012265075E-4</v>
      </c>
      <c r="F1420" s="6">
        <f t="shared" si="134"/>
        <v>-5.3687368962675341E-2</v>
      </c>
      <c r="G1420" s="4">
        <f t="shared" si="137"/>
        <v>5.2676282174680046E-2</v>
      </c>
      <c r="H1420" s="4">
        <f t="shared" si="135"/>
        <v>-1.0191943460368449</v>
      </c>
      <c r="I1420" s="4">
        <f t="shared" si="136"/>
        <v>-1.4383170907014087</v>
      </c>
    </row>
    <row r="1421" spans="1:9" x14ac:dyDescent="0.25">
      <c r="A1421" s="3">
        <v>42240</v>
      </c>
      <c r="B1421" s="4" t="s">
        <v>0</v>
      </c>
      <c r="C1421" s="4">
        <v>589.60998500000005</v>
      </c>
      <c r="D1421" s="6">
        <f t="shared" si="132"/>
        <v>-3.7339987831112302E-2</v>
      </c>
      <c r="E1421" s="4">
        <f t="shared" si="133"/>
        <v>-5.9130338567739138E-3</v>
      </c>
      <c r="F1421" s="6">
        <f t="shared" si="134"/>
        <v>-3.1426953974338388E-2</v>
      </c>
      <c r="G1421" s="4">
        <f t="shared" si="137"/>
        <v>4.0703091592657517E-2</v>
      </c>
      <c r="H1421" s="4">
        <f t="shared" si="135"/>
        <v>-0.77210238202170223</v>
      </c>
      <c r="I1421" s="4">
        <f t="shared" si="136"/>
        <v>-1.217009577366466</v>
      </c>
    </row>
    <row r="1422" spans="1:9" x14ac:dyDescent="0.25">
      <c r="A1422" s="3">
        <v>42241</v>
      </c>
      <c r="B1422" s="4" t="s">
        <v>0</v>
      </c>
      <c r="C1422" s="4">
        <v>582.05999799999995</v>
      </c>
      <c r="D1422" s="6">
        <f t="shared" si="132"/>
        <v>-1.2805052818093134E-2</v>
      </c>
      <c r="E1422" s="4">
        <f t="shared" si="133"/>
        <v>-2.682161348671401E-2</v>
      </c>
      <c r="F1422" s="6">
        <f t="shared" si="134"/>
        <v>1.4016560668620877E-2</v>
      </c>
      <c r="G1422" s="4">
        <f t="shared" si="137"/>
        <v>3.1156588706883384E-2</v>
      </c>
      <c r="H1422" s="4">
        <f t="shared" si="135"/>
        <v>0.44987468944327069</v>
      </c>
      <c r="I1422" s="4">
        <f t="shared" si="136"/>
        <v>-1.0201321513055122</v>
      </c>
    </row>
    <row r="1423" spans="1:9" x14ac:dyDescent="0.25">
      <c r="A1423" s="3">
        <v>42242</v>
      </c>
      <c r="B1423" s="4" t="s">
        <v>0</v>
      </c>
      <c r="C1423" s="4">
        <v>628.61999500000002</v>
      </c>
      <c r="D1423" s="6">
        <f t="shared" si="132"/>
        <v>7.9991748548231392E-2</v>
      </c>
      <c r="E1423" s="4">
        <f t="shared" si="133"/>
        <v>-3.0538142198707593E-2</v>
      </c>
      <c r="F1423" s="6">
        <f t="shared" si="134"/>
        <v>0.11052989074693899</v>
      </c>
      <c r="G1423" s="4">
        <f t="shared" si="137"/>
        <v>2.0135189415281498E-2</v>
      </c>
      <c r="H1423" s="4">
        <f t="shared" si="135"/>
        <v>5.4893891717280248</v>
      </c>
      <c r="I1423" s="4">
        <f t="shared" si="136"/>
        <v>-15.985635272547118</v>
      </c>
    </row>
    <row r="1424" spans="1:9" x14ac:dyDescent="0.25">
      <c r="A1424" s="3">
        <v>42243</v>
      </c>
      <c r="B1424" s="4" t="s">
        <v>0</v>
      </c>
      <c r="C1424" s="4">
        <v>637.60998500000005</v>
      </c>
      <c r="D1424" s="6">
        <f t="shared" si="132"/>
        <v>1.4301151842934991E-2</v>
      </c>
      <c r="E1424" s="4">
        <f t="shared" si="133"/>
        <v>-1.6328959595462746E-2</v>
      </c>
      <c r="F1424" s="6">
        <f t="shared" si="134"/>
        <v>3.0630111438397736E-2</v>
      </c>
      <c r="G1424" s="4">
        <f t="shared" si="137"/>
        <v>0.18893254652030136</v>
      </c>
      <c r="H1424" s="4">
        <f t="shared" si="135"/>
        <v>0.16212194247382591</v>
      </c>
      <c r="I1424" s="4">
        <f t="shared" si="136"/>
        <v>-0.93208029532041592</v>
      </c>
    </row>
    <row r="1425" spans="1:9" x14ac:dyDescent="0.25">
      <c r="A1425" s="3">
        <v>42244</v>
      </c>
      <c r="B1425" s="4" t="s">
        <v>0</v>
      </c>
      <c r="C1425" s="4">
        <v>630.38000499999998</v>
      </c>
      <c r="D1425" s="6">
        <f t="shared" si="132"/>
        <v>-1.133918879893336E-2</v>
      </c>
      <c r="E1425" s="4">
        <f t="shared" si="133"/>
        <v>2.6657893291906619E-2</v>
      </c>
      <c r="F1425" s="6">
        <f t="shared" si="134"/>
        <v>-3.7997082090839976E-2</v>
      </c>
      <c r="G1425" s="4">
        <f t="shared" si="137"/>
        <v>7.2508823216669613E-2</v>
      </c>
      <c r="H1425" s="4">
        <f t="shared" si="135"/>
        <v>-0.52403390932573479</v>
      </c>
      <c r="I1425" s="4">
        <f t="shared" si="136"/>
        <v>-1.0562443022662789</v>
      </c>
    </row>
    <row r="1426" spans="1:9" x14ac:dyDescent="0.25">
      <c r="A1426" s="3">
        <v>42247</v>
      </c>
      <c r="B1426" s="4" t="s">
        <v>0</v>
      </c>
      <c r="C1426" s="4">
        <v>618.25</v>
      </c>
      <c r="D1426" s="6">
        <f t="shared" si="132"/>
        <v>-1.924236952915406E-2</v>
      </c>
      <c r="E1426" s="4">
        <f t="shared" si="133"/>
        <v>2.9964456290889611E-2</v>
      </c>
      <c r="F1426" s="6">
        <f t="shared" si="134"/>
        <v>-4.9206825820043668E-2</v>
      </c>
      <c r="G1426" s="4">
        <f t="shared" si="137"/>
        <v>3.3398628822416308E-2</v>
      </c>
      <c r="H1426" s="4">
        <f t="shared" si="135"/>
        <v>-1.4733187425651828</v>
      </c>
      <c r="I1426" s="4">
        <f t="shared" si="136"/>
        <v>-2.0042725918015982</v>
      </c>
    </row>
    <row r="1427" spans="1:9" x14ac:dyDescent="0.25">
      <c r="A1427" s="3">
        <v>42248</v>
      </c>
      <c r="B1427" s="4" t="s">
        <v>0</v>
      </c>
      <c r="C1427" s="4">
        <v>597.78997800000002</v>
      </c>
      <c r="D1427" s="6">
        <f t="shared" si="132"/>
        <v>-3.3093444399514726E-2</v>
      </c>
      <c r="E1427" s="4">
        <f t="shared" si="133"/>
        <v>4.4638319797689688E-5</v>
      </c>
      <c r="F1427" s="6">
        <f t="shared" si="134"/>
        <v>-3.3138082719312414E-2</v>
      </c>
      <c r="G1427" s="4">
        <f t="shared" si="137"/>
        <v>5.2465525469369986E-2</v>
      </c>
      <c r="H1427" s="4">
        <f t="shared" si="135"/>
        <v>-0.63161633134998008</v>
      </c>
      <c r="I1427" s="4">
        <f t="shared" si="136"/>
        <v>-1.1184081282186766</v>
      </c>
    </row>
    <row r="1428" spans="1:9" x14ac:dyDescent="0.25">
      <c r="A1428" s="3">
        <v>42249</v>
      </c>
      <c r="B1428" s="4" t="s">
        <v>0</v>
      </c>
      <c r="C1428" s="4">
        <v>614.34002699999996</v>
      </c>
      <c r="D1428" s="6">
        <f t="shared" si="132"/>
        <v>2.7685390536941964E-2</v>
      </c>
      <c r="E1428" s="4">
        <f t="shared" si="133"/>
        <v>-1.0829271487849497E-2</v>
      </c>
      <c r="F1428" s="6">
        <f t="shared" si="134"/>
        <v>3.8514662024791459E-2</v>
      </c>
      <c r="G1428" s="4">
        <f t="shared" si="137"/>
        <v>2.9956230892525231E-2</v>
      </c>
      <c r="H1428" s="4">
        <f t="shared" si="135"/>
        <v>1.2856978624237321</v>
      </c>
      <c r="I1428" s="4">
        <f t="shared" si="136"/>
        <v>-1.7454480299251496</v>
      </c>
    </row>
    <row r="1429" spans="1:9" x14ac:dyDescent="0.25">
      <c r="A1429" s="3">
        <v>42250</v>
      </c>
      <c r="B1429" s="4" t="s">
        <v>0</v>
      </c>
      <c r="C1429" s="4">
        <v>606.25</v>
      </c>
      <c r="D1429" s="6">
        <f t="shared" si="132"/>
        <v>-1.3168647075636444E-2</v>
      </c>
      <c r="E1429" s="4">
        <f t="shared" si="133"/>
        <v>-1.8543400543129366E-2</v>
      </c>
      <c r="F1429" s="6">
        <f t="shared" si="134"/>
        <v>5.3747534674929223E-3</v>
      </c>
      <c r="G1429" s="4">
        <f t="shared" si="137"/>
        <v>4.5924856187339068E-2</v>
      </c>
      <c r="H1429" s="4">
        <f t="shared" si="135"/>
        <v>0.11703364830513453</v>
      </c>
      <c r="I1429" s="4">
        <f t="shared" si="136"/>
        <v>-0.92578697062247761</v>
      </c>
    </row>
    <row r="1430" spans="1:9" x14ac:dyDescent="0.25">
      <c r="A1430" s="3">
        <v>42251</v>
      </c>
      <c r="B1430" s="4" t="s">
        <v>0</v>
      </c>
      <c r="C1430" s="4">
        <v>600.70001200000002</v>
      </c>
      <c r="D1430" s="6">
        <f t="shared" si="132"/>
        <v>-9.1546193814432738E-3</v>
      </c>
      <c r="E1430" s="4">
        <f t="shared" si="133"/>
        <v>4.4834549389298484E-4</v>
      </c>
      <c r="F1430" s="6">
        <f t="shared" si="134"/>
        <v>-9.6029648753362586E-3</v>
      </c>
      <c r="G1430" s="4">
        <f t="shared" si="137"/>
        <v>1.86632676531731E-2</v>
      </c>
      <c r="H1430" s="4">
        <f t="shared" si="135"/>
        <v>-0.5145382391654002</v>
      </c>
      <c r="I1430" s="4">
        <f t="shared" si="136"/>
        <v>-1.051313332986388</v>
      </c>
    </row>
    <row r="1431" spans="1:9" x14ac:dyDescent="0.25">
      <c r="A1431" s="3">
        <v>42255</v>
      </c>
      <c r="B1431" s="4" t="s">
        <v>0</v>
      </c>
      <c r="C1431" s="4">
        <v>614.65997300000004</v>
      </c>
      <c r="D1431" s="6">
        <f t="shared" si="132"/>
        <v>2.3239488465334041E-2</v>
      </c>
      <c r="E1431" s="4">
        <f t="shared" si="133"/>
        <v>3.4444289058794689E-3</v>
      </c>
      <c r="F1431" s="6">
        <f t="shared" si="134"/>
        <v>1.9795059559454573E-2</v>
      </c>
      <c r="G1431" s="4">
        <f t="shared" si="137"/>
        <v>1.9708500616455172E-2</v>
      </c>
      <c r="H1431" s="4">
        <f t="shared" si="135"/>
        <v>1.0043919598291069</v>
      </c>
      <c r="I1431" s="4">
        <f t="shared" si="136"/>
        <v>-1.4233401376893497</v>
      </c>
    </row>
    <row r="1432" spans="1:9" x14ac:dyDescent="0.25">
      <c r="A1432" s="3">
        <v>42256</v>
      </c>
      <c r="B1432" s="4" t="s">
        <v>0</v>
      </c>
      <c r="C1432" s="4">
        <v>612.71997099999999</v>
      </c>
      <c r="D1432" s="6">
        <f t="shared" si="132"/>
        <v>-3.156219837337691E-3</v>
      </c>
      <c r="E1432" s="4">
        <f t="shared" si="133"/>
        <v>-7.5320832356049524E-3</v>
      </c>
      <c r="F1432" s="6">
        <f t="shared" si="134"/>
        <v>4.3758633982672619E-3</v>
      </c>
      <c r="G1432" s="4">
        <f t="shared" si="137"/>
        <v>3.5687421820898797E-2</v>
      </c>
      <c r="H1432" s="4">
        <f t="shared" si="135"/>
        <v>0.12261640586501338</v>
      </c>
      <c r="I1432" s="4">
        <f t="shared" si="136"/>
        <v>-0.92645592469829963</v>
      </c>
    </row>
    <row r="1433" spans="1:9" x14ac:dyDescent="0.25">
      <c r="A1433" s="3">
        <v>42257</v>
      </c>
      <c r="B1433" s="4" t="s">
        <v>0</v>
      </c>
      <c r="C1433" s="4">
        <v>621.34997599999997</v>
      </c>
      <c r="D1433" s="6">
        <f t="shared" si="132"/>
        <v>1.4084745737788238E-2</v>
      </c>
      <c r="E1433" s="4">
        <f t="shared" si="133"/>
        <v>6.0802878974832945E-3</v>
      </c>
      <c r="F1433" s="6">
        <f t="shared" si="134"/>
        <v>8.0044578403049432E-3</v>
      </c>
      <c r="G1433" s="4">
        <f t="shared" si="137"/>
        <v>1.5104518839612464E-2</v>
      </c>
      <c r="H1433" s="4">
        <f t="shared" si="135"/>
        <v>0.52993795600511251</v>
      </c>
      <c r="I1433" s="4">
        <f t="shared" si="136"/>
        <v>-1.059355651812111</v>
      </c>
    </row>
    <row r="1434" spans="1:9" x14ac:dyDescent="0.25">
      <c r="A1434" s="3">
        <v>42258</v>
      </c>
      <c r="B1434" s="4" t="s">
        <v>0</v>
      </c>
      <c r="C1434" s="4">
        <v>625.77002000000005</v>
      </c>
      <c r="D1434" s="6">
        <f t="shared" si="132"/>
        <v>7.1136141799739531E-3</v>
      </c>
      <c r="E1434" s="4">
        <f t="shared" si="133"/>
        <v>5.9108691992098752E-3</v>
      </c>
      <c r="F1434" s="6">
        <f t="shared" si="134"/>
        <v>1.202744980764078E-3</v>
      </c>
      <c r="G1434" s="4">
        <f t="shared" si="137"/>
        <v>1.9746443865218861E-2</v>
      </c>
      <c r="H1434" s="4">
        <f t="shared" si="135"/>
        <v>6.0909447238881219E-2</v>
      </c>
      <c r="I1434" s="4">
        <f t="shared" si="136"/>
        <v>-0.92079351358614581</v>
      </c>
    </row>
    <row r="1435" spans="1:9" x14ac:dyDescent="0.25">
      <c r="A1435" s="3">
        <v>42261</v>
      </c>
      <c r="B1435" s="4" t="s">
        <v>0</v>
      </c>
      <c r="C1435" s="4">
        <v>623.23999000000003</v>
      </c>
      <c r="D1435" s="6">
        <f t="shared" si="132"/>
        <v>-4.0430668123091137E-3</v>
      </c>
      <c r="E1435" s="4">
        <f t="shared" si="133"/>
        <v>4.4178485414765713E-3</v>
      </c>
      <c r="F1435" s="6">
        <f t="shared" si="134"/>
        <v>-8.4609153537856842E-3</v>
      </c>
      <c r="G1435" s="4">
        <f t="shared" si="137"/>
        <v>9.2731407682687707E-3</v>
      </c>
      <c r="H1435" s="4">
        <f t="shared" si="135"/>
        <v>-0.91241096897154905</v>
      </c>
      <c r="I1435" s="4">
        <f t="shared" si="136"/>
        <v>-1.3351854213544734</v>
      </c>
    </row>
    <row r="1436" spans="1:9" x14ac:dyDescent="0.25">
      <c r="A1436" s="3">
        <v>42262</v>
      </c>
      <c r="B1436" s="4" t="s">
        <v>0</v>
      </c>
      <c r="C1436" s="4">
        <v>635.14001499999995</v>
      </c>
      <c r="D1436" s="6">
        <f t="shared" si="132"/>
        <v>1.9093808470152747E-2</v>
      </c>
      <c r="E1436" s="4">
        <f t="shared" si="133"/>
        <v>7.0327905377768887E-3</v>
      </c>
      <c r="F1436" s="6">
        <f t="shared" si="134"/>
        <v>1.2061017932375857E-2</v>
      </c>
      <c r="G1436" s="4">
        <f t="shared" si="137"/>
        <v>3.1955560140389722E-2</v>
      </c>
      <c r="H1436" s="4">
        <f t="shared" si="135"/>
        <v>0.37743096598489995</v>
      </c>
      <c r="I1436" s="4">
        <f t="shared" si="136"/>
        <v>-0.9901656002468201</v>
      </c>
    </row>
    <row r="1437" spans="1:9" x14ac:dyDescent="0.25">
      <c r="A1437" s="3">
        <v>42263</v>
      </c>
      <c r="B1437" s="4" t="s">
        <v>0</v>
      </c>
      <c r="C1437" s="4">
        <v>635.97997999999995</v>
      </c>
      <c r="D1437" s="6">
        <f t="shared" si="132"/>
        <v>1.3224879241784295E-3</v>
      </c>
      <c r="E1437" s="4">
        <f t="shared" si="133"/>
        <v>6.3336154148073941E-4</v>
      </c>
      <c r="F1437" s="6">
        <f t="shared" si="134"/>
        <v>6.8912638269769014E-4</v>
      </c>
      <c r="G1437" s="4">
        <f t="shared" si="137"/>
        <v>1.849175515595617E-2</v>
      </c>
      <c r="H1437" s="4">
        <f t="shared" si="135"/>
        <v>3.7266683280506419E-2</v>
      </c>
      <c r="I1437" s="4">
        <f t="shared" si="136"/>
        <v>-0.91963293604603746</v>
      </c>
    </row>
    <row r="1438" spans="1:9" x14ac:dyDescent="0.25">
      <c r="A1438" s="3">
        <v>42264</v>
      </c>
      <c r="B1438" s="4" t="s">
        <v>0</v>
      </c>
      <c r="C1438" s="4">
        <v>642.90002400000003</v>
      </c>
      <c r="D1438" s="6">
        <f t="shared" si="132"/>
        <v>1.0880914836344496E-2</v>
      </c>
      <c r="E1438" s="4">
        <f t="shared" si="133"/>
        <v>6.0609944505567717E-3</v>
      </c>
      <c r="F1438" s="6">
        <f t="shared" si="134"/>
        <v>4.8199203857877239E-3</v>
      </c>
      <c r="G1438" s="4">
        <f t="shared" si="137"/>
        <v>8.7325029106552921E-3</v>
      </c>
      <c r="H1438" s="4">
        <f t="shared" si="135"/>
        <v>0.55195176401332968</v>
      </c>
      <c r="I1438" s="4">
        <f t="shared" si="136"/>
        <v>-1.0712639081033859</v>
      </c>
    </row>
    <row r="1439" spans="1:9" x14ac:dyDescent="0.25">
      <c r="A1439" s="3">
        <v>42265</v>
      </c>
      <c r="B1439" s="4" t="s">
        <v>0</v>
      </c>
      <c r="C1439" s="4">
        <v>629.25</v>
      </c>
      <c r="D1439" s="6">
        <f t="shared" si="132"/>
        <v>-2.1231954410379724E-2</v>
      </c>
      <c r="E1439" s="4">
        <f t="shared" si="133"/>
        <v>6.3532983500790771E-3</v>
      </c>
      <c r="F1439" s="6">
        <f t="shared" si="134"/>
        <v>-2.7585252760458801E-2</v>
      </c>
      <c r="G1439" s="4">
        <f t="shared" si="137"/>
        <v>1.9898101418028405E-2</v>
      </c>
      <c r="H1439" s="4">
        <f t="shared" si="135"/>
        <v>-1.3863258700383121</v>
      </c>
      <c r="I1439" s="4">
        <f t="shared" si="136"/>
        <v>-1.8798882421734142</v>
      </c>
    </row>
    <row r="1440" spans="1:9" x14ac:dyDescent="0.25">
      <c r="A1440" s="3">
        <v>42268</v>
      </c>
      <c r="B1440" s="4" t="s">
        <v>0</v>
      </c>
      <c r="C1440" s="4">
        <v>635.44000200000005</v>
      </c>
      <c r="D1440" s="6">
        <f t="shared" si="132"/>
        <v>9.8371108462456096E-3</v>
      </c>
      <c r="E1440" s="4">
        <f t="shared" si="133"/>
        <v>4.5641378164601246E-3</v>
      </c>
      <c r="F1440" s="6">
        <f t="shared" si="134"/>
        <v>5.2729730297854851E-3</v>
      </c>
      <c r="G1440" s="4">
        <f t="shared" si="137"/>
        <v>4.8515805478114446E-2</v>
      </c>
      <c r="H1440" s="4">
        <f t="shared" si="135"/>
        <v>0.10868567424205976</v>
      </c>
      <c r="I1440" s="4">
        <f t="shared" si="136"/>
        <v>-0.9248448210973983</v>
      </c>
    </row>
    <row r="1441" spans="1:9" x14ac:dyDescent="0.25">
      <c r="A1441" s="3">
        <v>42269</v>
      </c>
      <c r="B1441" s="4" t="s">
        <v>0</v>
      </c>
      <c r="C1441" s="4">
        <v>622.69000200000005</v>
      </c>
      <c r="D1441" s="6">
        <f t="shared" si="132"/>
        <v>-2.0064836900211391E-2</v>
      </c>
      <c r="E1441" s="4">
        <f t="shared" si="133"/>
        <v>-4.7840339298260452E-3</v>
      </c>
      <c r="F1441" s="6">
        <f t="shared" si="134"/>
        <v>-1.5280802970385345E-2</v>
      </c>
      <c r="G1441" s="4">
        <f t="shared" si="137"/>
        <v>1.9538371747457473E-2</v>
      </c>
      <c r="H1441" s="4">
        <f t="shared" si="135"/>
        <v>-0.78209193518768183</v>
      </c>
      <c r="I1441" s="4">
        <f t="shared" si="136"/>
        <v>-1.2247724307474792</v>
      </c>
    </row>
    <row r="1442" spans="1:9" x14ac:dyDescent="0.25">
      <c r="A1442" s="3">
        <v>42270</v>
      </c>
      <c r="B1442" s="4" t="s">
        <v>0</v>
      </c>
      <c r="C1442" s="4">
        <v>622.35998500000005</v>
      </c>
      <c r="D1442" s="6">
        <f t="shared" si="132"/>
        <v>-5.2998602665857159E-4</v>
      </c>
      <c r="E1442" s="4">
        <f t="shared" si="133"/>
        <v>-2.7422112714373314E-3</v>
      </c>
      <c r="F1442" s="6">
        <f t="shared" si="134"/>
        <v>2.2122252447787597E-3</v>
      </c>
      <c r="G1442" s="4">
        <f t="shared" si="137"/>
        <v>2.8342273833330597E-2</v>
      </c>
      <c r="H1442" s="4">
        <f t="shared" si="135"/>
        <v>7.8053908369806815E-2</v>
      </c>
      <c r="I1442" s="4">
        <f t="shared" si="136"/>
        <v>-0.92198473951057369</v>
      </c>
    </row>
    <row r="1443" spans="1:9" x14ac:dyDescent="0.25">
      <c r="A1443" s="3">
        <v>42271</v>
      </c>
      <c r="B1443" s="4" t="s">
        <v>0</v>
      </c>
      <c r="C1443" s="4">
        <v>625.79998799999998</v>
      </c>
      <c r="D1443" s="6">
        <f t="shared" si="132"/>
        <v>5.5273524694874673E-3</v>
      </c>
      <c r="E1443" s="4">
        <f t="shared" si="133"/>
        <v>-4.6577437860168191E-3</v>
      </c>
      <c r="F1443" s="6">
        <f t="shared" si="134"/>
        <v>1.0185096255504286E-2</v>
      </c>
      <c r="G1443" s="4">
        <f t="shared" si="137"/>
        <v>1.2208334439850125E-2</v>
      </c>
      <c r="H1443" s="4">
        <f t="shared" si="135"/>
        <v>0.83427402039858622</v>
      </c>
      <c r="I1443" s="4">
        <f t="shared" si="136"/>
        <v>-1.2669451037606829</v>
      </c>
    </row>
    <row r="1444" spans="1:9" x14ac:dyDescent="0.25">
      <c r="A1444" s="3">
        <v>42272</v>
      </c>
      <c r="B1444" s="4" t="s">
        <v>0</v>
      </c>
      <c r="C1444" s="4">
        <v>611.96997099999999</v>
      </c>
      <c r="D1444" s="6">
        <f t="shared" si="132"/>
        <v>-2.2099739957169826E-2</v>
      </c>
      <c r="E1444" s="4">
        <f t="shared" si="133"/>
        <v>-6.3473927821521619E-3</v>
      </c>
      <c r="F1444" s="6">
        <f t="shared" si="134"/>
        <v>-1.5752347175017663E-2</v>
      </c>
      <c r="G1444" s="4">
        <f t="shared" si="137"/>
        <v>2.9479708914212841E-2</v>
      </c>
      <c r="H1444" s="4">
        <f t="shared" si="135"/>
        <v>-0.53434541096920729</v>
      </c>
      <c r="I1444" s="4">
        <f t="shared" si="136"/>
        <v>-1.0617010423165982</v>
      </c>
    </row>
    <row r="1445" spans="1:9" x14ac:dyDescent="0.25">
      <c r="A1445" s="3">
        <v>42275</v>
      </c>
      <c r="B1445" s="4" t="s">
        <v>0</v>
      </c>
      <c r="C1445" s="4">
        <v>594.89001499999995</v>
      </c>
      <c r="D1445" s="6">
        <f t="shared" si="132"/>
        <v>-2.7909794286295198E-2</v>
      </c>
      <c r="E1445" s="4">
        <f t="shared" si="133"/>
        <v>1.950240584365467E-3</v>
      </c>
      <c r="F1445" s="6">
        <f t="shared" si="134"/>
        <v>-2.9860034870660666E-2</v>
      </c>
      <c r="G1445" s="4">
        <f t="shared" si="137"/>
        <v>2.2110199443286543E-2</v>
      </c>
      <c r="H1445" s="4">
        <f t="shared" si="135"/>
        <v>-1.3505095215107727</v>
      </c>
      <c r="I1445" s="4">
        <f t="shared" si="136"/>
        <v>-1.830876517050301</v>
      </c>
    </row>
    <row r="1446" spans="1:9" x14ac:dyDescent="0.25">
      <c r="A1446" s="3">
        <v>42276</v>
      </c>
      <c r="B1446" s="4" t="s">
        <v>0</v>
      </c>
      <c r="C1446" s="4">
        <v>594.96997099999999</v>
      </c>
      <c r="D1446" s="6">
        <f t="shared" si="132"/>
        <v>1.3440467646786496E-4</v>
      </c>
      <c r="E1446" s="4">
        <f t="shared" si="133"/>
        <v>-6.7560655703303978E-3</v>
      </c>
      <c r="F1446" s="6">
        <f t="shared" si="134"/>
        <v>6.8904702467982625E-3</v>
      </c>
      <c r="G1446" s="4">
        <f t="shared" si="137"/>
        <v>4.7449772072103533E-2</v>
      </c>
      <c r="H1446" s="4">
        <f t="shared" si="135"/>
        <v>0.14521608736766259</v>
      </c>
      <c r="I1446" s="4">
        <f t="shared" si="136"/>
        <v>-0.92948238921985893</v>
      </c>
    </row>
    <row r="1447" spans="1:9" x14ac:dyDescent="0.25">
      <c r="A1447" s="3">
        <v>42277</v>
      </c>
      <c r="B1447" s="4" t="s">
        <v>0</v>
      </c>
      <c r="C1447" s="4">
        <v>608.419983</v>
      </c>
      <c r="D1447" s="6">
        <f t="shared" si="132"/>
        <v>2.2606203095248342E-2</v>
      </c>
      <c r="E1447" s="4">
        <f t="shared" si="133"/>
        <v>-1.7437425873528666E-2</v>
      </c>
      <c r="F1447" s="6">
        <f t="shared" si="134"/>
        <v>4.0043628968777008E-2</v>
      </c>
      <c r="G1447" s="4">
        <f t="shared" si="137"/>
        <v>1.9437114599597294E-2</v>
      </c>
      <c r="H1447" s="4">
        <f t="shared" si="135"/>
        <v>2.0601632389205879</v>
      </c>
      <c r="I1447" s="4">
        <f t="shared" si="136"/>
        <v>-3.0410748187045566</v>
      </c>
    </row>
    <row r="1448" spans="1:9" x14ac:dyDescent="0.25">
      <c r="A1448" s="3">
        <v>42278</v>
      </c>
      <c r="B1448" s="4" t="s">
        <v>0</v>
      </c>
      <c r="C1448" s="4">
        <v>611.28997800000002</v>
      </c>
      <c r="D1448" s="6">
        <f t="shared" si="132"/>
        <v>4.7171281026120032E-3</v>
      </c>
      <c r="E1448" s="4">
        <f t="shared" si="133"/>
        <v>-8.4956039983303654E-3</v>
      </c>
      <c r="F1448" s="6">
        <f t="shared" si="134"/>
        <v>1.3212732100942369E-2</v>
      </c>
      <c r="G1448" s="4">
        <f t="shared" si="137"/>
        <v>7.1384321190965147E-2</v>
      </c>
      <c r="H1448" s="4">
        <f t="shared" si="135"/>
        <v>0.18509291508980064</v>
      </c>
      <c r="I1448" s="4">
        <f t="shared" si="136"/>
        <v>-0.93606822681289281</v>
      </c>
    </row>
    <row r="1449" spans="1:9" x14ac:dyDescent="0.25">
      <c r="A1449" s="3">
        <v>42279</v>
      </c>
      <c r="B1449" s="4" t="s">
        <v>0</v>
      </c>
      <c r="C1449" s="4">
        <v>626.90997300000004</v>
      </c>
      <c r="D1449" s="6">
        <f t="shared" si="132"/>
        <v>2.5552512820682979E-2</v>
      </c>
      <c r="E1449" s="4">
        <f t="shared" si="133"/>
        <v>8.68313769618702E-3</v>
      </c>
      <c r="F1449" s="6">
        <f t="shared" si="134"/>
        <v>1.6869375124495961E-2</v>
      </c>
      <c r="G1449" s="4">
        <f t="shared" si="137"/>
        <v>2.8422543513785269E-2</v>
      </c>
      <c r="H1449" s="4">
        <f t="shared" si="135"/>
        <v>0.5935209534049658</v>
      </c>
      <c r="I1449" s="4">
        <f t="shared" si="136"/>
        <v>-1.0950720942700425</v>
      </c>
    </row>
    <row r="1450" spans="1:9" x14ac:dyDescent="0.25">
      <c r="A1450" s="3">
        <v>42282</v>
      </c>
      <c r="B1450" s="4" t="s">
        <v>0</v>
      </c>
      <c r="C1450" s="4">
        <v>641.46997099999999</v>
      </c>
      <c r="D1450" s="6">
        <f t="shared" si="132"/>
        <v>2.3225022135674254E-2</v>
      </c>
      <c r="E1450" s="4">
        <f t="shared" si="133"/>
        <v>8.7269707980144745E-3</v>
      </c>
      <c r="F1450" s="6">
        <f t="shared" si="134"/>
        <v>1.449805133765978E-2</v>
      </c>
      <c r="G1450" s="4">
        <f t="shared" si="137"/>
        <v>2.3639303146219547E-2</v>
      </c>
      <c r="H1450" s="4">
        <f t="shared" si="135"/>
        <v>0.61330282233714417</v>
      </c>
      <c r="I1450" s="4">
        <f t="shared" si="136"/>
        <v>-1.1070087091480261</v>
      </c>
    </row>
    <row r="1451" spans="1:9" x14ac:dyDescent="0.25">
      <c r="A1451" s="3">
        <v>42283</v>
      </c>
      <c r="B1451" s="4" t="s">
        <v>0</v>
      </c>
      <c r="C1451" s="4">
        <v>645.44000200000005</v>
      </c>
      <c r="D1451" s="6">
        <f t="shared" si="132"/>
        <v>6.1889584539882737E-3</v>
      </c>
      <c r="E1451" s="4">
        <f t="shared" si="133"/>
        <v>1.1213290018972808E-2</v>
      </c>
      <c r="F1451" s="6">
        <f t="shared" si="134"/>
        <v>-5.0243315649845348E-3</v>
      </c>
      <c r="G1451" s="4">
        <f t="shared" si="137"/>
        <v>2.3467877719296256E-2</v>
      </c>
      <c r="H1451" s="4">
        <f t="shared" si="135"/>
        <v>-0.21409398945577948</v>
      </c>
      <c r="I1451" s="4">
        <f t="shared" si="136"/>
        <v>-0.94185665136521834</v>
      </c>
    </row>
    <row r="1452" spans="1:9" x14ac:dyDescent="0.25">
      <c r="A1452" s="3">
        <v>42284</v>
      </c>
      <c r="B1452" s="4" t="s">
        <v>0</v>
      </c>
      <c r="C1452" s="4">
        <v>642.35998500000005</v>
      </c>
      <c r="D1452" s="6">
        <f t="shared" si="132"/>
        <v>-4.7719648463932637E-3</v>
      </c>
      <c r="E1452" s="4">
        <f t="shared" si="133"/>
        <v>1.6704080638508246E-2</v>
      </c>
      <c r="F1452" s="6">
        <f t="shared" si="134"/>
        <v>-2.147604548490151E-2</v>
      </c>
      <c r="G1452" s="4">
        <f t="shared" si="137"/>
        <v>1.2617889836341338E-2</v>
      </c>
      <c r="H1452" s="4">
        <f t="shared" si="135"/>
        <v>-1.7020314619523313</v>
      </c>
      <c r="I1452" s="4">
        <f t="shared" si="136"/>
        <v>-2.3673940819424679</v>
      </c>
    </row>
    <row r="1453" spans="1:9" x14ac:dyDescent="0.25">
      <c r="A1453" s="3">
        <v>42285</v>
      </c>
      <c r="B1453" s="4" t="s">
        <v>0</v>
      </c>
      <c r="C1453" s="4">
        <v>639.15997300000004</v>
      </c>
      <c r="D1453" s="6">
        <f t="shared" si="132"/>
        <v>-4.9816490359374035E-3</v>
      </c>
      <c r="E1453" s="4">
        <f t="shared" si="133"/>
        <v>9.4785291588543076E-3</v>
      </c>
      <c r="F1453" s="6">
        <f t="shared" si="134"/>
        <v>-1.4460178194791711E-2</v>
      </c>
      <c r="G1453" s="4">
        <f t="shared" si="137"/>
        <v>5.8919910738861221E-2</v>
      </c>
      <c r="H1453" s="4">
        <f t="shared" si="135"/>
        <v>-0.24542091142806763</v>
      </c>
      <c r="I1453" s="4">
        <f t="shared" si="136"/>
        <v>-0.94905424508776426</v>
      </c>
    </row>
    <row r="1454" spans="1:9" x14ac:dyDescent="0.25">
      <c r="A1454" s="3">
        <v>42286</v>
      </c>
      <c r="B1454" s="4" t="s">
        <v>0</v>
      </c>
      <c r="C1454" s="4">
        <v>643.60998500000005</v>
      </c>
      <c r="D1454" s="6">
        <f t="shared" si="132"/>
        <v>6.9622820388973499E-3</v>
      </c>
      <c r="E1454" s="4">
        <f t="shared" si="133"/>
        <v>7.1059597529738849E-5</v>
      </c>
      <c r="F1454" s="6">
        <f t="shared" si="134"/>
        <v>6.8912224413676115E-3</v>
      </c>
      <c r="G1454" s="4">
        <f t="shared" si="137"/>
        <v>2.4532739683390165E-2</v>
      </c>
      <c r="H1454" s="4">
        <f t="shared" si="135"/>
        <v>0.28089901618420943</v>
      </c>
      <c r="I1454" s="4">
        <f t="shared" si="136"/>
        <v>-0.95839066185130106</v>
      </c>
    </row>
    <row r="1455" spans="1:9" x14ac:dyDescent="0.25">
      <c r="A1455" s="3">
        <v>42289</v>
      </c>
      <c r="B1455" s="4" t="s">
        <v>0</v>
      </c>
      <c r="C1455" s="4">
        <v>646.669983</v>
      </c>
      <c r="D1455" s="6">
        <f t="shared" si="132"/>
        <v>4.754429035155429E-3</v>
      </c>
      <c r="E1455" s="4">
        <f t="shared" si="133"/>
        <v>-3.3656664376678098E-3</v>
      </c>
      <c r="F1455" s="6">
        <f t="shared" si="134"/>
        <v>8.1200954728232397E-3</v>
      </c>
      <c r="G1455" s="4">
        <f t="shared" si="137"/>
        <v>1.4343620669308632E-2</v>
      </c>
      <c r="H1455" s="4">
        <f t="shared" si="135"/>
        <v>0.56611197828160575</v>
      </c>
      <c r="I1455" s="4">
        <f t="shared" si="136"/>
        <v>-1.0791799191816294</v>
      </c>
    </row>
    <row r="1456" spans="1:9" x14ac:dyDescent="0.25">
      <c r="A1456" s="3">
        <v>42290</v>
      </c>
      <c r="B1456" s="4" t="s">
        <v>0</v>
      </c>
      <c r="C1456" s="4">
        <v>652.29998799999998</v>
      </c>
      <c r="D1456" s="6">
        <f t="shared" si="132"/>
        <v>8.7061486507871242E-3</v>
      </c>
      <c r="E1456" s="4">
        <f t="shared" si="133"/>
        <v>1.1359897798381628E-3</v>
      </c>
      <c r="F1456" s="6">
        <f t="shared" si="134"/>
        <v>7.570158870948961E-3</v>
      </c>
      <c r="G1456" s="4">
        <f t="shared" si="137"/>
        <v>2.0820985640271936E-2</v>
      </c>
      <c r="H1456" s="4">
        <f t="shared" si="135"/>
        <v>0.36358311761700485</v>
      </c>
      <c r="I1456" s="4">
        <f t="shared" si="136"/>
        <v>-0.98503487491272301</v>
      </c>
    </row>
    <row r="1457" spans="1:9" x14ac:dyDescent="0.25">
      <c r="A1457" s="3">
        <v>42291</v>
      </c>
      <c r="B1457" s="4" t="s">
        <v>0</v>
      </c>
      <c r="C1457" s="4">
        <v>651.15997300000004</v>
      </c>
      <c r="D1457" s="6">
        <f t="shared" si="132"/>
        <v>-1.7476851463623644E-3</v>
      </c>
      <c r="E1457" s="4">
        <f t="shared" si="133"/>
        <v>3.949907809891893E-3</v>
      </c>
      <c r="F1457" s="6">
        <f t="shared" si="134"/>
        <v>-5.6975929562542577E-3</v>
      </c>
      <c r="G1457" s="4">
        <f t="shared" si="137"/>
        <v>1.5626397783049032E-2</v>
      </c>
      <c r="H1457" s="4">
        <f t="shared" si="135"/>
        <v>-0.36461333157887521</v>
      </c>
      <c r="I1457" s="4">
        <f t="shared" si="136"/>
        <v>-0.9854099739871961</v>
      </c>
    </row>
    <row r="1458" spans="1:9" x14ac:dyDescent="0.25">
      <c r="A1458" s="3">
        <v>42292</v>
      </c>
      <c r="B1458" s="4" t="s">
        <v>0</v>
      </c>
      <c r="C1458" s="4">
        <v>661.73999000000003</v>
      </c>
      <c r="D1458" s="6">
        <f t="shared" si="132"/>
        <v>1.6247953557796461E-2</v>
      </c>
      <c r="E1458" s="4">
        <f t="shared" si="133"/>
        <v>4.7841991466378306E-3</v>
      </c>
      <c r="F1458" s="6">
        <f t="shared" si="134"/>
        <v>1.1463754411158631E-2</v>
      </c>
      <c r="G1458" s="4">
        <f t="shared" si="137"/>
        <v>1.4747242033898177E-2</v>
      </c>
      <c r="H1458" s="4">
        <f t="shared" si="135"/>
        <v>0.7773490382003575</v>
      </c>
      <c r="I1458" s="4">
        <f t="shared" si="136"/>
        <v>-1.2210742968001831</v>
      </c>
    </row>
    <row r="1459" spans="1:9" x14ac:dyDescent="0.25">
      <c r="A1459" s="3">
        <v>42293</v>
      </c>
      <c r="B1459" s="4" t="s">
        <v>0</v>
      </c>
      <c r="C1459" s="4">
        <v>662.20001200000002</v>
      </c>
      <c r="D1459" s="6">
        <f t="shared" si="132"/>
        <v>6.9517031908556835E-4</v>
      </c>
      <c r="E1459" s="4">
        <f t="shared" si="133"/>
        <v>1.9984985350226495E-3</v>
      </c>
      <c r="F1459" s="6">
        <f t="shared" si="134"/>
        <v>-1.303328215937081E-3</v>
      </c>
      <c r="G1459" s="4">
        <f t="shared" si="137"/>
        <v>2.7759791181727361E-2</v>
      </c>
      <c r="H1459" s="4">
        <f t="shared" si="135"/>
        <v>-4.6950216858799187E-2</v>
      </c>
      <c r="I1459" s="4">
        <f t="shared" si="136"/>
        <v>-0.92004069463621674</v>
      </c>
    </row>
    <row r="1460" spans="1:9" x14ac:dyDescent="0.25">
      <c r="A1460" s="3">
        <v>42296</v>
      </c>
      <c r="B1460" s="4" t="s">
        <v>0</v>
      </c>
      <c r="C1460" s="4">
        <v>666.09997599999997</v>
      </c>
      <c r="D1460" s="6">
        <f t="shared" si="132"/>
        <v>5.8894049068666495E-3</v>
      </c>
      <c r="E1460" s="4">
        <f t="shared" si="133"/>
        <v>5.676036428772813E-3</v>
      </c>
      <c r="F1460" s="6">
        <f t="shared" si="134"/>
        <v>2.1336847809383646E-4</v>
      </c>
      <c r="G1460" s="4">
        <f t="shared" si="137"/>
        <v>1.181890250585519E-2</v>
      </c>
      <c r="H1460" s="4">
        <f t="shared" si="135"/>
        <v>1.805315493449005E-2</v>
      </c>
      <c r="I1460" s="4">
        <f t="shared" si="136"/>
        <v>-0.919101491406217</v>
      </c>
    </row>
    <row r="1461" spans="1:9" x14ac:dyDescent="0.25">
      <c r="A1461" s="3">
        <v>42297</v>
      </c>
      <c r="B1461" s="4" t="s">
        <v>0</v>
      </c>
      <c r="C1461" s="4">
        <v>650.28002900000001</v>
      </c>
      <c r="D1461" s="6">
        <f t="shared" si="132"/>
        <v>-2.3750108947609327E-2</v>
      </c>
      <c r="E1461" s="4">
        <f t="shared" si="133"/>
        <v>5.2418386738729682E-3</v>
      </c>
      <c r="F1461" s="6">
        <f t="shared" si="134"/>
        <v>-2.8991947621482293E-2</v>
      </c>
      <c r="G1461" s="4">
        <f t="shared" si="137"/>
        <v>6.7473415412670516E-3</v>
      </c>
      <c r="H1461" s="4">
        <f t="shared" si="135"/>
        <v>-4.2967956259759799</v>
      </c>
      <c r="I1461" s="4">
        <f t="shared" si="136"/>
        <v>-10.150164858907829</v>
      </c>
    </row>
    <row r="1462" spans="1:9" x14ac:dyDescent="0.25">
      <c r="A1462" s="3">
        <v>42298</v>
      </c>
      <c r="B1462" s="4" t="s">
        <v>0</v>
      </c>
      <c r="C1462" s="4">
        <v>642.60998500000005</v>
      </c>
      <c r="D1462" s="6">
        <f t="shared" si="132"/>
        <v>-1.1794986248916405E-2</v>
      </c>
      <c r="E1462" s="4">
        <f t="shared" si="133"/>
        <v>2.4638195401874997E-3</v>
      </c>
      <c r="F1462" s="6">
        <f t="shared" si="134"/>
        <v>-1.4258805789103905E-2</v>
      </c>
      <c r="G1462" s="4">
        <f t="shared" si="137"/>
        <v>0.14781862086798717</v>
      </c>
      <c r="H1462" s="4">
        <f t="shared" si="135"/>
        <v>-9.6461499271042861E-2</v>
      </c>
      <c r="I1462" s="4">
        <f t="shared" si="136"/>
        <v>-0.92359094362548144</v>
      </c>
    </row>
    <row r="1463" spans="1:9" x14ac:dyDescent="0.25">
      <c r="A1463" s="3">
        <v>42299</v>
      </c>
      <c r="B1463" s="4" t="s">
        <v>0</v>
      </c>
      <c r="C1463" s="4">
        <v>651.78997800000002</v>
      </c>
      <c r="D1463" s="6">
        <f t="shared" si="132"/>
        <v>1.4285481418406481E-2</v>
      </c>
      <c r="E1463" s="4">
        <f t="shared" si="133"/>
        <v>-7.2757656778476695E-3</v>
      </c>
      <c r="F1463" s="6">
        <f t="shared" si="134"/>
        <v>2.1561247096254149E-2</v>
      </c>
      <c r="G1463" s="4">
        <f t="shared" si="137"/>
        <v>5.674412361485244E-2</v>
      </c>
      <c r="H1463" s="4">
        <f t="shared" si="135"/>
        <v>0.37997321524603861</v>
      </c>
      <c r="I1463" s="4">
        <f t="shared" si="136"/>
        <v>-0.99112835535687882</v>
      </c>
    </row>
    <row r="1464" spans="1:9" x14ac:dyDescent="0.25">
      <c r="A1464" s="3">
        <v>42300</v>
      </c>
      <c r="B1464" s="4" t="s">
        <v>0</v>
      </c>
      <c r="C1464" s="4">
        <v>702</v>
      </c>
      <c r="D1464" s="6">
        <f t="shared" si="132"/>
        <v>7.7034050376270105E-2</v>
      </c>
      <c r="E1464" s="4">
        <f t="shared" si="133"/>
        <v>-1.1782215802040559E-2</v>
      </c>
      <c r="F1464" s="6">
        <f t="shared" si="134"/>
        <v>8.8816266178310663E-2</v>
      </c>
      <c r="G1464" s="4">
        <f t="shared" si="137"/>
        <v>2.5780395635240788E-2</v>
      </c>
      <c r="H1464" s="4">
        <f t="shared" si="135"/>
        <v>3.4451087343633437</v>
      </c>
      <c r="I1464" s="4">
        <f t="shared" si="136"/>
        <v>-6.8533256289979736</v>
      </c>
    </row>
    <row r="1465" spans="1:9" x14ac:dyDescent="0.25">
      <c r="A1465" s="3">
        <v>42303</v>
      </c>
      <c r="B1465" s="4" t="s">
        <v>0</v>
      </c>
      <c r="C1465" s="4">
        <v>712.78002900000001</v>
      </c>
      <c r="D1465" s="6">
        <f t="shared" si="132"/>
        <v>1.5356166666666685E-2</v>
      </c>
      <c r="E1465" s="4">
        <f t="shared" si="133"/>
        <v>1.8503427152742435E-3</v>
      </c>
      <c r="F1465" s="6">
        <f t="shared" si="134"/>
        <v>1.3505823951392441E-2</v>
      </c>
      <c r="G1465" s="4">
        <f t="shared" si="137"/>
        <v>0.11894601318192385</v>
      </c>
      <c r="H1465" s="4">
        <f t="shared" si="135"/>
        <v>0.11354583134060782</v>
      </c>
      <c r="I1465" s="4">
        <f t="shared" si="136"/>
        <v>-0.92538486111208751</v>
      </c>
    </row>
    <row r="1466" spans="1:9" x14ac:dyDescent="0.25">
      <c r="A1466" s="3">
        <v>42304</v>
      </c>
      <c r="B1466" s="4" t="s">
        <v>0</v>
      </c>
      <c r="C1466" s="4">
        <v>708.48999000000003</v>
      </c>
      <c r="D1466" s="6">
        <f t="shared" si="132"/>
        <v>-6.0187418634872819E-3</v>
      </c>
      <c r="E1466" s="4">
        <f t="shared" si="133"/>
        <v>3.3823783887921663E-2</v>
      </c>
      <c r="F1466" s="6">
        <f t="shared" si="134"/>
        <v>-3.9842525751408946E-2</v>
      </c>
      <c r="G1466" s="4">
        <f t="shared" si="137"/>
        <v>4.584478017385591E-2</v>
      </c>
      <c r="H1466" s="4">
        <f t="shared" si="135"/>
        <v>-0.86907442025712023</v>
      </c>
      <c r="I1466" s="4">
        <f t="shared" si="136"/>
        <v>-1.2965837071772977</v>
      </c>
    </row>
    <row r="1467" spans="1:9" x14ac:dyDescent="0.25">
      <c r="A1467" s="3">
        <v>42305</v>
      </c>
      <c r="B1467" s="4" t="s">
        <v>0</v>
      </c>
      <c r="C1467" s="4">
        <v>712.95001200000002</v>
      </c>
      <c r="D1467" s="6">
        <f t="shared" si="132"/>
        <v>6.2951094058505764E-3</v>
      </c>
      <c r="E1467" s="4">
        <f t="shared" si="133"/>
        <v>2.9462071333585648E-2</v>
      </c>
      <c r="F1467" s="6">
        <f t="shared" si="134"/>
        <v>-2.3166961927735073E-2</v>
      </c>
      <c r="G1467" s="4">
        <f t="shared" si="137"/>
        <v>3.4980877466375848E-2</v>
      </c>
      <c r="H1467" s="4">
        <f t="shared" si="135"/>
        <v>-0.66227503726867654</v>
      </c>
      <c r="I1467" s="4">
        <f t="shared" si="136"/>
        <v>-1.1382426456992862</v>
      </c>
    </row>
    <row r="1468" spans="1:9" x14ac:dyDescent="0.25">
      <c r="A1468" s="3">
        <v>42306</v>
      </c>
      <c r="B1468" s="4" t="s">
        <v>0</v>
      </c>
      <c r="C1468" s="4">
        <v>716.919983</v>
      </c>
      <c r="D1468" s="6">
        <f t="shared" si="132"/>
        <v>5.5683721623950074E-3</v>
      </c>
      <c r="E1468" s="4">
        <f t="shared" si="133"/>
        <v>2.4021459862583376E-3</v>
      </c>
      <c r="F1468" s="6">
        <f t="shared" si="134"/>
        <v>3.1662261761366698E-3</v>
      </c>
      <c r="G1468" s="4">
        <f t="shared" si="137"/>
        <v>2.6859812182639945E-2</v>
      </c>
      <c r="H1468" s="4">
        <f t="shared" si="135"/>
        <v>0.117879684139529</v>
      </c>
      <c r="I1468" s="4">
        <f t="shared" si="136"/>
        <v>-0.92588634317109031</v>
      </c>
    </row>
    <row r="1469" spans="1:9" x14ac:dyDescent="0.25">
      <c r="A1469" s="3">
        <v>42307</v>
      </c>
      <c r="B1469" s="4" t="s">
        <v>0</v>
      </c>
      <c r="C1469" s="4">
        <v>710.80999799999995</v>
      </c>
      <c r="D1469" s="6">
        <f t="shared" si="132"/>
        <v>-8.5225480456443785E-3</v>
      </c>
      <c r="E1469" s="4">
        <f t="shared" si="133"/>
        <v>5.6334785429186518E-4</v>
      </c>
      <c r="F1469" s="6">
        <f t="shared" si="134"/>
        <v>-9.0858958999362437E-3</v>
      </c>
      <c r="G1469" s="4">
        <f t="shared" si="137"/>
        <v>1.2097105565187912E-2</v>
      </c>
      <c r="H1469" s="4">
        <f t="shared" si="135"/>
        <v>-0.75108015309735843</v>
      </c>
      <c r="I1469" s="4">
        <f t="shared" si="136"/>
        <v>-1.2009992313930484</v>
      </c>
    </row>
    <row r="1470" spans="1:9" x14ac:dyDescent="0.25">
      <c r="A1470" s="3">
        <v>42310</v>
      </c>
      <c r="B1470" s="4" t="s">
        <v>0</v>
      </c>
      <c r="C1470" s="4">
        <v>721.10998500000005</v>
      </c>
      <c r="D1470" s="6">
        <f t="shared" si="132"/>
        <v>1.4490492577455419E-2</v>
      </c>
      <c r="E1470" s="4">
        <f t="shared" si="133"/>
        <v>4.0563936803505E-3</v>
      </c>
      <c r="F1470" s="6">
        <f t="shared" si="134"/>
        <v>1.0434098897104919E-2</v>
      </c>
      <c r="G1470" s="4">
        <f t="shared" si="137"/>
        <v>2.6698120323330764E-2</v>
      </c>
      <c r="H1470" s="4">
        <f t="shared" si="135"/>
        <v>0.39081773438509987</v>
      </c>
      <c r="I1470" s="4">
        <f t="shared" si="136"/>
        <v>-0.99530778395962394</v>
      </c>
    </row>
    <row r="1471" spans="1:9" x14ac:dyDescent="0.25">
      <c r="A1471" s="3">
        <v>42311</v>
      </c>
      <c r="B1471" s="4" t="s">
        <v>0</v>
      </c>
      <c r="C1471" s="4">
        <v>722.15997300000004</v>
      </c>
      <c r="D1471" s="6">
        <f t="shared" si="132"/>
        <v>1.4560719194589779E-3</v>
      </c>
      <c r="E1471" s="4">
        <f t="shared" si="133"/>
        <v>-1.5523768910421596E-3</v>
      </c>
      <c r="F1471" s="6">
        <f t="shared" si="134"/>
        <v>3.0084488105011375E-3</v>
      </c>
      <c r="G1471" s="4">
        <f t="shared" si="137"/>
        <v>1.7583017812402353E-2</v>
      </c>
      <c r="H1471" s="4">
        <f t="shared" si="135"/>
        <v>0.17109968508244922</v>
      </c>
      <c r="I1471" s="4">
        <f t="shared" si="136"/>
        <v>-0.93357608432232919</v>
      </c>
    </row>
    <row r="1472" spans="1:9" x14ac:dyDescent="0.25">
      <c r="A1472" s="3">
        <v>42312</v>
      </c>
      <c r="B1472" s="4" t="s">
        <v>0</v>
      </c>
      <c r="C1472" s="4">
        <v>728.10998500000005</v>
      </c>
      <c r="D1472" s="6">
        <f t="shared" si="132"/>
        <v>8.2391882996262593E-3</v>
      </c>
      <c r="E1472" s="4">
        <f t="shared" si="133"/>
        <v>2.929394089326659E-3</v>
      </c>
      <c r="F1472" s="6">
        <f t="shared" si="134"/>
        <v>5.3097942102996003E-3</v>
      </c>
      <c r="G1472" s="4">
        <f t="shared" si="137"/>
        <v>1.0219366064212858E-2</v>
      </c>
      <c r="H1472" s="4">
        <f t="shared" si="135"/>
        <v>0.519581564740492</v>
      </c>
      <c r="I1472" s="4">
        <f t="shared" si="136"/>
        <v>-1.0539210344137617</v>
      </c>
    </row>
    <row r="1473" spans="1:9" x14ac:dyDescent="0.25">
      <c r="A1473" s="3">
        <v>42313</v>
      </c>
      <c r="B1473" s="4" t="s">
        <v>0</v>
      </c>
      <c r="C1473" s="4">
        <v>731.25</v>
      </c>
      <c r="D1473" s="6">
        <f t="shared" si="132"/>
        <v>4.3125558839849564E-3</v>
      </c>
      <c r="E1473" s="4">
        <f t="shared" si="133"/>
        <v>4.9945362250899943E-3</v>
      </c>
      <c r="F1473" s="6">
        <f t="shared" si="134"/>
        <v>-6.8198034110503788E-4</v>
      </c>
      <c r="G1473" s="4">
        <f t="shared" si="137"/>
        <v>1.8948592349820506E-2</v>
      </c>
      <c r="H1473" s="4">
        <f t="shared" si="135"/>
        <v>-3.5991082003064889E-2</v>
      </c>
      <c r="I1473" s="4">
        <f t="shared" si="136"/>
        <v>-0.91958621219654835</v>
      </c>
    </row>
    <row r="1474" spans="1:9" x14ac:dyDescent="0.25">
      <c r="A1474" s="3">
        <v>42314</v>
      </c>
      <c r="B1474" s="4" t="s">
        <v>0</v>
      </c>
      <c r="C1474" s="4">
        <v>733.76000999999997</v>
      </c>
      <c r="D1474" s="6">
        <f t="shared" si="132"/>
        <v>3.4324923076922607E-3</v>
      </c>
      <c r="E1474" s="4">
        <f t="shared" si="133"/>
        <v>3.5956819517408518E-3</v>
      </c>
      <c r="F1474" s="6">
        <f t="shared" si="134"/>
        <v>-1.6318964404859115E-4</v>
      </c>
      <c r="G1474" s="4">
        <f t="shared" si="137"/>
        <v>8.8678435842023898E-3</v>
      </c>
      <c r="H1474" s="4">
        <f t="shared" si="135"/>
        <v>-1.8402404428885639E-2</v>
      </c>
      <c r="I1474" s="4">
        <f t="shared" si="136"/>
        <v>-0.91910785744905477</v>
      </c>
    </row>
    <row r="1475" spans="1:9" x14ac:dyDescent="0.25">
      <c r="A1475" s="3">
        <v>42317</v>
      </c>
      <c r="B1475" s="4" t="s">
        <v>0</v>
      </c>
      <c r="C1475" s="4">
        <v>724.89001499999995</v>
      </c>
      <c r="D1475" s="6">
        <f t="shared" si="132"/>
        <v>-1.2088414303199785E-2</v>
      </c>
      <c r="E1475" s="4">
        <f t="shared" si="133"/>
        <v>4.1719387807108588E-3</v>
      </c>
      <c r="F1475" s="6">
        <f t="shared" si="134"/>
        <v>-1.6260353083910644E-2</v>
      </c>
      <c r="G1475" s="4">
        <f t="shared" si="137"/>
        <v>6.0535569493718215E-3</v>
      </c>
      <c r="H1475" s="4">
        <f t="shared" si="135"/>
        <v>-2.6860824503514391</v>
      </c>
      <c r="I1475" s="4">
        <f t="shared" si="136"/>
        <v>-4.5264579982476683</v>
      </c>
    </row>
    <row r="1476" spans="1:9" x14ac:dyDescent="0.25">
      <c r="A1476" s="3">
        <v>42318</v>
      </c>
      <c r="B1476" s="4" t="s">
        <v>0</v>
      </c>
      <c r="C1476" s="4">
        <v>728.32000700000003</v>
      </c>
      <c r="D1476" s="6">
        <f t="shared" ref="D1476:D1539" si="138">(C1476-C1475)/C1475</f>
        <v>4.731741269742947E-3</v>
      </c>
      <c r="E1476" s="4">
        <f t="shared" si="133"/>
        <v>2.6326584818809054E-3</v>
      </c>
      <c r="F1476" s="6">
        <f t="shared" si="134"/>
        <v>2.0990827878620416E-3</v>
      </c>
      <c r="G1476" s="4">
        <f t="shared" si="137"/>
        <v>9.2503287369105888E-2</v>
      </c>
      <c r="H1476" s="4">
        <f t="shared" si="135"/>
        <v>2.2691980442665762E-2</v>
      </c>
      <c r="I1476" s="4">
        <f t="shared" si="136"/>
        <v>-0.91919599619287784</v>
      </c>
    </row>
    <row r="1477" spans="1:9" x14ac:dyDescent="0.25">
      <c r="A1477" s="3">
        <v>42319</v>
      </c>
      <c r="B1477" s="4" t="s">
        <v>0</v>
      </c>
      <c r="C1477" s="4">
        <v>735.40002400000003</v>
      </c>
      <c r="D1477" s="6">
        <f t="shared" si="138"/>
        <v>9.721025005427316E-3</v>
      </c>
      <c r="E1477" s="4">
        <f t="shared" si="133"/>
        <v>-3.5698465593986418E-3</v>
      </c>
      <c r="F1477" s="6">
        <f t="shared" si="134"/>
        <v>1.3290871564825958E-2</v>
      </c>
      <c r="G1477" s="4">
        <f t="shared" si="137"/>
        <v>3.5669755902576948E-2</v>
      </c>
      <c r="H1477" s="4">
        <f t="shared" si="135"/>
        <v>0.37260898563832795</v>
      </c>
      <c r="I1477" s="4">
        <f t="shared" si="136"/>
        <v>-0.98835726129388457</v>
      </c>
    </row>
    <row r="1478" spans="1:9" x14ac:dyDescent="0.25">
      <c r="A1478" s="3">
        <v>42320</v>
      </c>
      <c r="B1478" s="4" t="s">
        <v>0</v>
      </c>
      <c r="C1478" s="4">
        <v>731.22997999999995</v>
      </c>
      <c r="D1478" s="6">
        <f t="shared" si="138"/>
        <v>-5.6704431111088398E-3</v>
      </c>
      <c r="E1478" s="4">
        <f t="shared" si="133"/>
        <v>-1.8930628508835767E-3</v>
      </c>
      <c r="F1478" s="6">
        <f t="shared" si="134"/>
        <v>-3.7773802602252631E-3</v>
      </c>
      <c r="G1478" s="4">
        <f t="shared" si="137"/>
        <v>1.9346130809531726E-2</v>
      </c>
      <c r="H1478" s="4">
        <f t="shared" si="135"/>
        <v>-0.19525249247069962</v>
      </c>
      <c r="I1478" s="4">
        <f t="shared" si="136"/>
        <v>-0.93800030111268307</v>
      </c>
    </row>
    <row r="1479" spans="1:9" x14ac:dyDescent="0.25">
      <c r="A1479" s="3">
        <v>42321</v>
      </c>
      <c r="B1479" s="4" t="s">
        <v>0</v>
      </c>
      <c r="C1479" s="4">
        <v>717</v>
      </c>
      <c r="D1479" s="6">
        <f t="shared" si="138"/>
        <v>-1.9460334490114802E-2</v>
      </c>
      <c r="E1479" s="4">
        <f t="shared" ref="E1479:E1542" si="139">+$M$16*D1478+$M$17*D1477+$M$18*D1476</f>
        <v>5.1651386510072868E-3</v>
      </c>
      <c r="F1479" s="6">
        <f t="shared" ref="F1479:F1542" si="140">D1479-E1479</f>
        <v>-2.4625473141122088E-2</v>
      </c>
      <c r="G1479" s="4">
        <f t="shared" si="137"/>
        <v>1.1152606402840683E-2</v>
      </c>
      <c r="H1479" s="4">
        <f t="shared" ref="H1479:H1542" si="141">F1479/G1479</f>
        <v>-2.2080464648021407</v>
      </c>
      <c r="I1479" s="4">
        <f t="shared" ref="I1479:I1542" si="142">LN(_xlfn.NORM.DIST(H1479,0,1,FALSE))</f>
        <v>-3.3566731285672882</v>
      </c>
    </row>
    <row r="1480" spans="1:9" x14ac:dyDescent="0.25">
      <c r="A1480" s="3">
        <v>42324</v>
      </c>
      <c r="B1480" s="4" t="s">
        <v>0</v>
      </c>
      <c r="C1480" s="4">
        <v>728.96002199999998</v>
      </c>
      <c r="D1480" s="6">
        <f t="shared" si="138"/>
        <v>1.6680644351464408E-2</v>
      </c>
      <c r="E1480" s="4">
        <f t="shared" si="139"/>
        <v>8.0900364881758124E-4</v>
      </c>
      <c r="F1480" s="6">
        <f t="shared" si="140"/>
        <v>1.5871640702646825E-2</v>
      </c>
      <c r="G1480" s="4">
        <f t="shared" ref="G1480:G1543" si="143">SQRT($M$12 + $M$13 *H1479^2+$M$14*G1479^2)</f>
        <v>7.618884426393599E-2</v>
      </c>
      <c r="H1480" s="4">
        <f t="shared" si="141"/>
        <v>0.20831974623035029</v>
      </c>
      <c r="I1480" s="4">
        <f t="shared" si="142"/>
        <v>-0.94063709153941144</v>
      </c>
    </row>
    <row r="1481" spans="1:9" x14ac:dyDescent="0.25">
      <c r="A1481" s="3">
        <v>42325</v>
      </c>
      <c r="B1481" s="4" t="s">
        <v>0</v>
      </c>
      <c r="C1481" s="4">
        <v>725.29998799999998</v>
      </c>
      <c r="D1481" s="6">
        <f t="shared" si="138"/>
        <v>-5.020898114492205E-3</v>
      </c>
      <c r="E1481" s="4">
        <f t="shared" si="139"/>
        <v>-9.1755335669156928E-3</v>
      </c>
      <c r="F1481" s="6">
        <f t="shared" si="140"/>
        <v>4.1546354524234878E-3</v>
      </c>
      <c r="G1481" s="4">
        <f t="shared" si="143"/>
        <v>3.0363807078202833E-2</v>
      </c>
      <c r="H1481" s="4">
        <f t="shared" si="141"/>
        <v>0.13682854201131986</v>
      </c>
      <c r="I1481" s="4">
        <f t="shared" si="142"/>
        <v>-0.92829955815914444</v>
      </c>
    </row>
    <row r="1482" spans="1:9" x14ac:dyDescent="0.25">
      <c r="A1482" s="3">
        <v>42326</v>
      </c>
      <c r="B1482" s="4" t="s">
        <v>0</v>
      </c>
      <c r="C1482" s="4">
        <v>740</v>
      </c>
      <c r="D1482" s="6">
        <f t="shared" si="138"/>
        <v>2.0267492407569178E-2</v>
      </c>
      <c r="E1482" s="4">
        <f t="shared" si="139"/>
        <v>4.1679276042973831E-4</v>
      </c>
      <c r="F1482" s="6">
        <f t="shared" si="140"/>
        <v>1.9850699647139439E-2</v>
      </c>
      <c r="G1482" s="4">
        <f t="shared" si="143"/>
        <v>1.3463397927804511E-2</v>
      </c>
      <c r="H1482" s="4">
        <f t="shared" si="141"/>
        <v>1.4744197381363824</v>
      </c>
      <c r="I1482" s="4">
        <f t="shared" si="142"/>
        <v>-2.0058953153077517</v>
      </c>
    </row>
    <row r="1483" spans="1:9" x14ac:dyDescent="0.25">
      <c r="A1483" s="3">
        <v>42327</v>
      </c>
      <c r="B1483" s="4" t="s">
        <v>0</v>
      </c>
      <c r="C1483" s="4">
        <v>738.40997300000004</v>
      </c>
      <c r="D1483" s="6">
        <f t="shared" si="138"/>
        <v>-2.1486851351350859E-3</v>
      </c>
      <c r="E1483" s="4">
        <f t="shared" si="139"/>
        <v>3.1895045840178386E-3</v>
      </c>
      <c r="F1483" s="6">
        <f t="shared" si="140"/>
        <v>-5.3381897191529248E-3</v>
      </c>
      <c r="G1483" s="4">
        <f t="shared" si="143"/>
        <v>5.1189168437879691E-2</v>
      </c>
      <c r="H1483" s="4">
        <f t="shared" si="141"/>
        <v>-0.10428357955513681</v>
      </c>
      <c r="I1483" s="4">
        <f t="shared" si="142"/>
        <v>-0.92437606568708897</v>
      </c>
    </row>
    <row r="1484" spans="1:9" x14ac:dyDescent="0.25">
      <c r="A1484" s="3">
        <v>42328</v>
      </c>
      <c r="B1484" s="4" t="s">
        <v>0</v>
      </c>
      <c r="C1484" s="4">
        <v>756.59997599999997</v>
      </c>
      <c r="D1484" s="6">
        <f t="shared" si="138"/>
        <v>2.4634015878872661E-2</v>
      </c>
      <c r="E1484" s="4">
        <f t="shared" si="139"/>
        <v>6.2101370040885864E-3</v>
      </c>
      <c r="F1484" s="6">
        <f t="shared" si="140"/>
        <v>1.8423878874784076E-2</v>
      </c>
      <c r="G1484" s="4">
        <f t="shared" si="143"/>
        <v>2.048126762225496E-2</v>
      </c>
      <c r="H1484" s="4">
        <f t="shared" si="141"/>
        <v>0.89954778261696444</v>
      </c>
      <c r="I1484" s="4">
        <f t="shared" si="142"/>
        <v>-1.3235316398102215</v>
      </c>
    </row>
    <row r="1485" spans="1:9" x14ac:dyDescent="0.25">
      <c r="A1485" s="3">
        <v>42331</v>
      </c>
      <c r="B1485" s="4" t="s">
        <v>0</v>
      </c>
      <c r="C1485" s="4">
        <v>755.97997999999995</v>
      </c>
      <c r="D1485" s="6">
        <f t="shared" si="138"/>
        <v>-8.1945019781498737E-4</v>
      </c>
      <c r="E1485" s="4">
        <f t="shared" si="139"/>
        <v>5.3860593962535893E-3</v>
      </c>
      <c r="F1485" s="6">
        <f t="shared" si="140"/>
        <v>-6.205509594068577E-3</v>
      </c>
      <c r="G1485" s="4">
        <f t="shared" si="143"/>
        <v>3.2283285476292153E-2</v>
      </c>
      <c r="H1485" s="4">
        <f t="shared" si="141"/>
        <v>-0.19222050985565614</v>
      </c>
      <c r="I1485" s="4">
        <f t="shared" si="142"/>
        <v>-0.93741289540925687</v>
      </c>
    </row>
    <row r="1486" spans="1:9" x14ac:dyDescent="0.25">
      <c r="A1486" s="3">
        <v>42332</v>
      </c>
      <c r="B1486" s="4" t="s">
        <v>0</v>
      </c>
      <c r="C1486" s="4">
        <v>748.28002900000001</v>
      </c>
      <c r="D1486" s="6">
        <f t="shared" si="138"/>
        <v>-1.0185390094589465E-2</v>
      </c>
      <c r="E1486" s="4">
        <f t="shared" si="139"/>
        <v>8.7590163421535968E-3</v>
      </c>
      <c r="F1486" s="6">
        <f t="shared" si="140"/>
        <v>-1.8944406436743062E-2</v>
      </c>
      <c r="G1486" s="4">
        <f t="shared" si="143"/>
        <v>1.4843402715392974E-2</v>
      </c>
      <c r="H1486" s="4">
        <f t="shared" si="141"/>
        <v>-1.2762846093973619</v>
      </c>
      <c r="I1486" s="4">
        <f t="shared" si="142"/>
        <v>-1.7333897352969609</v>
      </c>
    </row>
    <row r="1487" spans="1:9" x14ac:dyDescent="0.25">
      <c r="A1487" s="3">
        <v>42333</v>
      </c>
      <c r="B1487" s="4" t="s">
        <v>0</v>
      </c>
      <c r="C1487" s="4">
        <v>748.15002400000003</v>
      </c>
      <c r="D1487" s="6">
        <f t="shared" si="138"/>
        <v>-1.7373843342274048E-4</v>
      </c>
      <c r="E1487" s="4">
        <f t="shared" si="139"/>
        <v>7.2307593669726031E-3</v>
      </c>
      <c r="F1487" s="6">
        <f t="shared" si="140"/>
        <v>-7.4044978003953432E-3</v>
      </c>
      <c r="G1487" s="4">
        <f t="shared" si="143"/>
        <v>4.4518864726619589E-2</v>
      </c>
      <c r="H1487" s="4">
        <f t="shared" si="141"/>
        <v>-0.16632270040722538</v>
      </c>
      <c r="I1487" s="4">
        <f t="shared" si="142"/>
        <v>-0.93277015354004855</v>
      </c>
    </row>
    <row r="1488" spans="1:9" x14ac:dyDescent="0.25">
      <c r="A1488" s="3">
        <v>42335</v>
      </c>
      <c r="B1488" s="4" t="s">
        <v>0</v>
      </c>
      <c r="C1488" s="4">
        <v>750.26000999999997</v>
      </c>
      <c r="D1488" s="6">
        <f t="shared" si="138"/>
        <v>2.8202712454901092E-3</v>
      </c>
      <c r="E1488" s="4">
        <f t="shared" si="139"/>
        <v>-4.1446248629973701E-3</v>
      </c>
      <c r="F1488" s="6">
        <f t="shared" si="140"/>
        <v>6.9648961084874794E-3</v>
      </c>
      <c r="G1488" s="4">
        <f t="shared" si="143"/>
        <v>1.8608931469288065E-2</v>
      </c>
      <c r="H1488" s="4">
        <f t="shared" si="141"/>
        <v>0.37427705722825899</v>
      </c>
      <c r="I1488" s="4">
        <f t="shared" si="142"/>
        <v>-0.9889801909883954</v>
      </c>
    </row>
    <row r="1489" spans="1:9" x14ac:dyDescent="0.25">
      <c r="A1489" s="3">
        <v>42338</v>
      </c>
      <c r="B1489" s="4" t="s">
        <v>0</v>
      </c>
      <c r="C1489" s="4">
        <v>742.59997599999997</v>
      </c>
      <c r="D1489" s="6">
        <f t="shared" si="138"/>
        <v>-1.0209839119640665E-2</v>
      </c>
      <c r="E1489" s="4">
        <f t="shared" si="139"/>
        <v>-3.1856584343090827E-3</v>
      </c>
      <c r="F1489" s="6">
        <f t="shared" si="140"/>
        <v>-7.0241806853315828E-3</v>
      </c>
      <c r="G1489" s="4">
        <f t="shared" si="143"/>
        <v>1.5517708326683562E-2</v>
      </c>
      <c r="H1489" s="4">
        <f t="shared" si="141"/>
        <v>-0.4526558005509817</v>
      </c>
      <c r="I1489" s="4">
        <f t="shared" si="142"/>
        <v>-1.0213871700908979</v>
      </c>
    </row>
    <row r="1490" spans="1:9" x14ac:dyDescent="0.25">
      <c r="A1490" s="3">
        <v>42339</v>
      </c>
      <c r="B1490" s="4" t="s">
        <v>0</v>
      </c>
      <c r="C1490" s="4">
        <v>767.03997800000002</v>
      </c>
      <c r="D1490" s="6">
        <f t="shared" si="138"/>
        <v>3.2911396161962779E-2</v>
      </c>
      <c r="E1490" s="4">
        <f t="shared" si="139"/>
        <v>1.024719106286507E-3</v>
      </c>
      <c r="F1490" s="6">
        <f t="shared" si="140"/>
        <v>3.1886677055676271E-2</v>
      </c>
      <c r="G1490" s="4">
        <f t="shared" si="143"/>
        <v>1.7378825061921961E-2</v>
      </c>
      <c r="H1490" s="4">
        <f t="shared" si="141"/>
        <v>1.8348005082082262</v>
      </c>
      <c r="I1490" s="4">
        <f t="shared" si="142"/>
        <v>-2.602184985665255</v>
      </c>
    </row>
    <row r="1491" spans="1:9" x14ac:dyDescent="0.25">
      <c r="A1491" s="3">
        <v>42340</v>
      </c>
      <c r="B1491" s="4" t="s">
        <v>0</v>
      </c>
      <c r="C1491" s="4">
        <v>762.38000499999998</v>
      </c>
      <c r="D1491" s="6">
        <f t="shared" si="138"/>
        <v>-6.07526743540874E-3</v>
      </c>
      <c r="E1491" s="4">
        <f t="shared" si="139"/>
        <v>-3.0386367663160089E-3</v>
      </c>
      <c r="F1491" s="6">
        <f t="shared" si="140"/>
        <v>-3.0366306690927311E-3</v>
      </c>
      <c r="G1491" s="4">
        <f t="shared" si="143"/>
        <v>6.3618541055373998E-2</v>
      </c>
      <c r="H1491" s="4">
        <f t="shared" si="141"/>
        <v>-4.7731850160625783E-2</v>
      </c>
      <c r="I1491" s="4">
        <f t="shared" si="142"/>
        <v>-0.92007769796455097</v>
      </c>
    </row>
    <row r="1492" spans="1:9" x14ac:dyDescent="0.25">
      <c r="A1492" s="3">
        <v>42341</v>
      </c>
      <c r="B1492" s="4" t="s">
        <v>0</v>
      </c>
      <c r="C1492" s="4">
        <v>752.53997800000002</v>
      </c>
      <c r="D1492" s="6">
        <f t="shared" si="138"/>
        <v>-1.2906984621140429E-2</v>
      </c>
      <c r="E1492" s="4">
        <f t="shared" si="139"/>
        <v>9.4544354402775789E-3</v>
      </c>
      <c r="F1492" s="6">
        <f t="shared" si="140"/>
        <v>-2.2361420061418009E-2</v>
      </c>
      <c r="G1492" s="4">
        <f t="shared" si="143"/>
        <v>2.4844892028595099E-2</v>
      </c>
      <c r="H1492" s="4">
        <f t="shared" si="141"/>
        <v>-0.90004094345353769</v>
      </c>
      <c r="I1492" s="4">
        <f t="shared" si="142"/>
        <v>-1.3239753831510397</v>
      </c>
    </row>
    <row r="1493" spans="1:9" x14ac:dyDescent="0.25">
      <c r="A1493" s="3">
        <v>42342</v>
      </c>
      <c r="B1493" s="4" t="s">
        <v>0</v>
      </c>
      <c r="C1493" s="4">
        <v>766.80999799999995</v>
      </c>
      <c r="D1493" s="6">
        <f t="shared" si="138"/>
        <v>1.8962474309902951E-2</v>
      </c>
      <c r="E1493" s="4">
        <f t="shared" si="139"/>
        <v>7.7564812575597539E-3</v>
      </c>
      <c r="F1493" s="6">
        <f t="shared" si="140"/>
        <v>1.1205993052343197E-2</v>
      </c>
      <c r="G1493" s="4">
        <f t="shared" si="143"/>
        <v>3.2742655843713178E-2</v>
      </c>
      <c r="H1493" s="4">
        <f t="shared" si="141"/>
        <v>0.34224447478639175</v>
      </c>
      <c r="I1493" s="4">
        <f t="shared" si="142"/>
        <v>-0.97750417346557916</v>
      </c>
    </row>
    <row r="1494" spans="1:9" x14ac:dyDescent="0.25">
      <c r="A1494" s="3">
        <v>42345</v>
      </c>
      <c r="B1494" s="4" t="s">
        <v>0</v>
      </c>
      <c r="C1494" s="4">
        <v>763.25</v>
      </c>
      <c r="D1494" s="6">
        <f t="shared" si="138"/>
        <v>-4.6426076984978889E-3</v>
      </c>
      <c r="E1494" s="4">
        <f t="shared" si="139"/>
        <v>-6.794256816781228E-3</v>
      </c>
      <c r="F1494" s="6">
        <f t="shared" si="140"/>
        <v>2.1516491182833391E-3</v>
      </c>
      <c r="G1494" s="4">
        <f t="shared" si="143"/>
        <v>1.7872863561846149E-2</v>
      </c>
      <c r="H1494" s="4">
        <f t="shared" si="141"/>
        <v>0.12038636734611138</v>
      </c>
      <c r="I1494" s="4">
        <f t="shared" si="142"/>
        <v>-0.92618497192606908</v>
      </c>
    </row>
    <row r="1495" spans="1:9" x14ac:dyDescent="0.25">
      <c r="A1495" s="3">
        <v>42346</v>
      </c>
      <c r="B1495" s="4" t="s">
        <v>0</v>
      </c>
      <c r="C1495" s="4">
        <v>762.36999500000002</v>
      </c>
      <c r="D1495" s="6">
        <f t="shared" si="138"/>
        <v>-1.1529708483458668E-3</v>
      </c>
      <c r="E1495" s="4">
        <f t="shared" si="139"/>
        <v>3.2960743908092777E-3</v>
      </c>
      <c r="F1495" s="6">
        <f t="shared" si="140"/>
        <v>-4.449045239155144E-3</v>
      </c>
      <c r="G1495" s="4">
        <f t="shared" si="143"/>
        <v>9.4054970773507149E-3</v>
      </c>
      <c r="H1495" s="4">
        <f t="shared" si="141"/>
        <v>-0.47302606152192062</v>
      </c>
      <c r="I1495" s="4">
        <f t="shared" si="142"/>
        <v>-1.0308153606441426</v>
      </c>
    </row>
    <row r="1496" spans="1:9" x14ac:dyDescent="0.25">
      <c r="A1496" s="3">
        <v>42347</v>
      </c>
      <c r="B1496" s="4" t="s">
        <v>0</v>
      </c>
      <c r="C1496" s="4">
        <v>751.60998500000005</v>
      </c>
      <c r="D1496" s="6">
        <f t="shared" si="138"/>
        <v>-1.4113894920536538E-2</v>
      </c>
      <c r="E1496" s="4">
        <f t="shared" si="139"/>
        <v>4.0325042083238375E-3</v>
      </c>
      <c r="F1496" s="6">
        <f t="shared" si="140"/>
        <v>-1.8146399128860374E-2</v>
      </c>
      <c r="G1496" s="4">
        <f t="shared" si="143"/>
        <v>1.7381285268188093E-2</v>
      </c>
      <c r="H1496" s="4">
        <f t="shared" si="141"/>
        <v>-1.0440194064401338</v>
      </c>
      <c r="I1496" s="4">
        <f t="shared" si="142"/>
        <v>-1.4639267937164773</v>
      </c>
    </row>
    <row r="1497" spans="1:9" x14ac:dyDescent="0.25">
      <c r="A1497" s="3">
        <v>42348</v>
      </c>
      <c r="B1497" s="4" t="s">
        <v>0</v>
      </c>
      <c r="C1497" s="4">
        <v>749.46002199999998</v>
      </c>
      <c r="D1497" s="6">
        <f t="shared" si="138"/>
        <v>-2.8604769001306847E-3</v>
      </c>
      <c r="E1497" s="4">
        <f t="shared" si="139"/>
        <v>-1.8628479509323692E-3</v>
      </c>
      <c r="F1497" s="6">
        <f t="shared" si="140"/>
        <v>-9.976289491983154E-4</v>
      </c>
      <c r="G1497" s="4">
        <f t="shared" si="143"/>
        <v>3.6836726396602112E-2</v>
      </c>
      <c r="H1497" s="4">
        <f t="shared" si="141"/>
        <v>-2.7082454028551747E-2</v>
      </c>
      <c r="I1497" s="4">
        <f t="shared" si="142"/>
        <v>-0.91930526286277703</v>
      </c>
    </row>
    <row r="1498" spans="1:9" x14ac:dyDescent="0.25">
      <c r="A1498" s="3">
        <v>42349</v>
      </c>
      <c r="B1498" s="4" t="s">
        <v>0</v>
      </c>
      <c r="C1498" s="4">
        <v>738.86999500000002</v>
      </c>
      <c r="D1498" s="6">
        <f t="shared" si="138"/>
        <v>-1.4130209336235901E-2</v>
      </c>
      <c r="E1498" s="4">
        <f t="shared" si="139"/>
        <v>-5.7486057848483178E-3</v>
      </c>
      <c r="F1498" s="6">
        <f t="shared" si="140"/>
        <v>-8.3816035513875828E-3</v>
      </c>
      <c r="G1498" s="4">
        <f t="shared" si="143"/>
        <v>1.4946290450234623E-2</v>
      </c>
      <c r="H1498" s="4">
        <f t="shared" si="141"/>
        <v>-0.56078152497404532</v>
      </c>
      <c r="I1498" s="4">
        <f t="shared" si="142"/>
        <v>-1.0761764925807806</v>
      </c>
    </row>
    <row r="1499" spans="1:9" x14ac:dyDescent="0.25">
      <c r="A1499" s="3">
        <v>42352</v>
      </c>
      <c r="B1499" s="4" t="s">
        <v>0</v>
      </c>
      <c r="C1499" s="4">
        <v>747.77002000000005</v>
      </c>
      <c r="D1499" s="6">
        <f t="shared" si="138"/>
        <v>1.2045454626967262E-2</v>
      </c>
      <c r="E1499" s="4">
        <f t="shared" si="139"/>
        <v>-5.4161950174882179E-3</v>
      </c>
      <c r="F1499" s="6">
        <f t="shared" si="140"/>
        <v>1.7461649644455478E-2</v>
      </c>
      <c r="G1499" s="4">
        <f t="shared" si="143"/>
        <v>2.0711998468066182E-2</v>
      </c>
      <c r="H1499" s="4">
        <f t="shared" si="141"/>
        <v>0.84306928041627172</v>
      </c>
      <c r="I1499" s="4">
        <f t="shared" si="142"/>
        <v>-1.274321438995478</v>
      </c>
    </row>
    <row r="1500" spans="1:9" x14ac:dyDescent="0.25">
      <c r="A1500" s="3">
        <v>42353</v>
      </c>
      <c r="B1500" s="4" t="s">
        <v>0</v>
      </c>
      <c r="C1500" s="4">
        <v>743.40002400000003</v>
      </c>
      <c r="D1500" s="6">
        <f t="shared" si="138"/>
        <v>-5.8440374488402391E-3</v>
      </c>
      <c r="E1500" s="4">
        <f t="shared" si="139"/>
        <v>-6.2774718317683926E-3</v>
      </c>
      <c r="F1500" s="6">
        <f t="shared" si="140"/>
        <v>4.334343829281535E-4</v>
      </c>
      <c r="G1500" s="4">
        <f t="shared" si="143"/>
        <v>3.0451310981254139E-2</v>
      </c>
      <c r="H1500" s="4">
        <f t="shared" si="141"/>
        <v>1.4233685478926545E-2</v>
      </c>
      <c r="I1500" s="4">
        <f t="shared" si="142"/>
        <v>-0.91903983210582929</v>
      </c>
    </row>
    <row r="1501" spans="1:9" x14ac:dyDescent="0.25">
      <c r="A1501" s="3">
        <v>42354</v>
      </c>
      <c r="B1501" s="4" t="s">
        <v>0</v>
      </c>
      <c r="C1501" s="4">
        <v>758.09002699999996</v>
      </c>
      <c r="D1501" s="6">
        <f t="shared" si="138"/>
        <v>1.976056298862849E-2</v>
      </c>
      <c r="E1501" s="4">
        <f t="shared" si="139"/>
        <v>2.7720221726498101E-4</v>
      </c>
      <c r="F1501" s="6">
        <f t="shared" si="140"/>
        <v>1.9483360771363509E-2</v>
      </c>
      <c r="G1501" s="4">
        <f t="shared" si="143"/>
        <v>1.2655128397787962E-2</v>
      </c>
      <c r="H1501" s="4">
        <f t="shared" si="141"/>
        <v>1.5395624729314543</v>
      </c>
      <c r="I1501" s="4">
        <f t="shared" si="142"/>
        <v>-2.1040648372340804</v>
      </c>
    </row>
    <row r="1502" spans="1:9" x14ac:dyDescent="0.25">
      <c r="A1502" s="3">
        <v>42355</v>
      </c>
      <c r="B1502" s="4" t="s">
        <v>0</v>
      </c>
      <c r="C1502" s="4">
        <v>749.42999299999997</v>
      </c>
      <c r="D1502" s="6">
        <f t="shared" si="138"/>
        <v>-1.1423490207713808E-2</v>
      </c>
      <c r="E1502" s="4">
        <f t="shared" si="139"/>
        <v>1.4552882782293592E-3</v>
      </c>
      <c r="F1502" s="6">
        <f t="shared" si="140"/>
        <v>-1.2878778485943166E-2</v>
      </c>
      <c r="G1502" s="4">
        <f t="shared" si="143"/>
        <v>5.3378723108799819E-2</v>
      </c>
      <c r="H1502" s="4">
        <f t="shared" si="141"/>
        <v>-0.24127176027970626</v>
      </c>
      <c r="I1502" s="4">
        <f t="shared" si="142"/>
        <v>-0.94804456435890672</v>
      </c>
    </row>
    <row r="1503" spans="1:9" x14ac:dyDescent="0.25">
      <c r="A1503" s="3">
        <v>42356</v>
      </c>
      <c r="B1503" s="4" t="s">
        <v>0</v>
      </c>
      <c r="C1503" s="4">
        <v>739.30999799999995</v>
      </c>
      <c r="D1503" s="6">
        <f t="shared" si="138"/>
        <v>-1.3503589520735952E-2</v>
      </c>
      <c r="E1503" s="4">
        <f t="shared" si="139"/>
        <v>5.7640746832048383E-3</v>
      </c>
      <c r="F1503" s="6">
        <f t="shared" si="140"/>
        <v>-1.9267664203940792E-2</v>
      </c>
      <c r="G1503" s="4">
        <f t="shared" si="143"/>
        <v>2.2556366334371143E-2</v>
      </c>
      <c r="H1503" s="4">
        <f t="shared" si="141"/>
        <v>-0.85420071293047484</v>
      </c>
      <c r="I1503" s="4">
        <f t="shared" si="142"/>
        <v>-1.2837679621901383</v>
      </c>
    </row>
    <row r="1504" spans="1:9" x14ac:dyDescent="0.25">
      <c r="A1504" s="3">
        <v>42359</v>
      </c>
      <c r="B1504" s="4" t="s">
        <v>0</v>
      </c>
      <c r="C1504" s="4">
        <v>747.77002000000005</v>
      </c>
      <c r="D1504" s="6">
        <f t="shared" si="138"/>
        <v>1.1443132140626205E-2</v>
      </c>
      <c r="E1504" s="4">
        <f t="shared" si="139"/>
        <v>1.6844831598965366E-3</v>
      </c>
      <c r="F1504" s="6">
        <f t="shared" si="140"/>
        <v>9.7586489807296693E-3</v>
      </c>
      <c r="G1504" s="4">
        <f t="shared" si="143"/>
        <v>3.1003859407016762E-2</v>
      </c>
      <c r="H1504" s="4">
        <f t="shared" si="141"/>
        <v>0.31475594223992326</v>
      </c>
      <c r="I1504" s="4">
        <f t="shared" si="142"/>
        <v>-0.96847418479234371</v>
      </c>
    </row>
    <row r="1505" spans="1:9" x14ac:dyDescent="0.25">
      <c r="A1505" s="3">
        <v>42360</v>
      </c>
      <c r="B1505" s="4" t="s">
        <v>0</v>
      </c>
      <c r="C1505" s="4">
        <v>750</v>
      </c>
      <c r="D1505" s="6">
        <f t="shared" si="138"/>
        <v>2.9821735832628793E-3</v>
      </c>
      <c r="E1505" s="4">
        <f t="shared" si="139"/>
        <v>-8.6603819136231233E-3</v>
      </c>
      <c r="F1505" s="6">
        <f t="shared" si="140"/>
        <v>1.1642555496886003E-2</v>
      </c>
      <c r="G1505" s="4">
        <f t="shared" si="143"/>
        <v>1.6791177265329457E-2</v>
      </c>
      <c r="H1505" s="4">
        <f t="shared" si="141"/>
        <v>0.69337338966253637</v>
      </c>
      <c r="I1505" s="4">
        <f t="shared" si="142"/>
        <v>-1.1593218619507304</v>
      </c>
    </row>
    <row r="1506" spans="1:9" x14ac:dyDescent="0.25">
      <c r="A1506" s="3">
        <v>42361</v>
      </c>
      <c r="B1506" s="4" t="s">
        <v>0</v>
      </c>
      <c r="C1506" s="4">
        <v>750.30999799999995</v>
      </c>
      <c r="D1506" s="6">
        <f t="shared" si="138"/>
        <v>4.1333066666660061E-4</v>
      </c>
      <c r="E1506" s="4">
        <f t="shared" si="139"/>
        <v>2.3902707878624939E-4</v>
      </c>
      <c r="F1506" s="6">
        <f t="shared" si="140"/>
        <v>1.7430358788035123E-4</v>
      </c>
      <c r="G1506" s="4">
        <f t="shared" si="143"/>
        <v>2.5180184223254232E-2</v>
      </c>
      <c r="H1506" s="4">
        <f t="shared" si="141"/>
        <v>6.9222522891385189E-3</v>
      </c>
      <c r="I1506" s="4">
        <f t="shared" si="142"/>
        <v>-0.91896249199304991</v>
      </c>
    </row>
    <row r="1507" spans="1:9" x14ac:dyDescent="0.25">
      <c r="A1507" s="3">
        <v>42362</v>
      </c>
      <c r="B1507" s="4" t="s">
        <v>0</v>
      </c>
      <c r="C1507" s="4">
        <v>748.40002400000003</v>
      </c>
      <c r="D1507" s="6">
        <f t="shared" si="138"/>
        <v>-2.5455798337901399E-3</v>
      </c>
      <c r="E1507" s="4">
        <f t="shared" si="139"/>
        <v>4.644515781360512E-3</v>
      </c>
      <c r="F1507" s="6">
        <f t="shared" si="140"/>
        <v>-7.1900956151506514E-3</v>
      </c>
      <c r="G1507" s="4">
        <f t="shared" si="143"/>
        <v>1.0827620058860718E-2</v>
      </c>
      <c r="H1507" s="4">
        <f t="shared" si="141"/>
        <v>-0.66405134055906212</v>
      </c>
      <c r="I1507" s="4">
        <f t="shared" si="142"/>
        <v>-1.1394206246538165</v>
      </c>
    </row>
    <row r="1508" spans="1:9" x14ac:dyDescent="0.25">
      <c r="A1508" s="3">
        <v>42366</v>
      </c>
      <c r="B1508" s="4" t="s">
        <v>0</v>
      </c>
      <c r="C1508" s="4">
        <v>762.51000999999997</v>
      </c>
      <c r="D1508" s="6">
        <f t="shared" si="138"/>
        <v>1.8853534937887623E-2</v>
      </c>
      <c r="E1508" s="4">
        <f t="shared" si="139"/>
        <v>1.0712540685597859E-3</v>
      </c>
      <c r="F1508" s="6">
        <f t="shared" si="140"/>
        <v>1.7782280869327836E-2</v>
      </c>
      <c r="G1508" s="4">
        <f t="shared" si="143"/>
        <v>2.3727652799183669E-2</v>
      </c>
      <c r="H1508" s="4">
        <f t="shared" si="141"/>
        <v>0.74943278291477788</v>
      </c>
      <c r="I1508" s="4">
        <f t="shared" si="142"/>
        <v>-1.199763281258367</v>
      </c>
    </row>
    <row r="1509" spans="1:9" x14ac:dyDescent="0.25">
      <c r="A1509" s="3">
        <v>42367</v>
      </c>
      <c r="B1509" s="4" t="s">
        <v>0</v>
      </c>
      <c r="C1509" s="4">
        <v>776.59997599999997</v>
      </c>
      <c r="D1509" s="6">
        <f t="shared" si="138"/>
        <v>1.847840135239668E-2</v>
      </c>
      <c r="E1509" s="4">
        <f t="shared" si="139"/>
        <v>-8.4616176188272228E-4</v>
      </c>
      <c r="F1509" s="6">
        <f t="shared" si="140"/>
        <v>1.9324563114279401E-2</v>
      </c>
      <c r="G1509" s="4">
        <f t="shared" si="143"/>
        <v>2.7759427294057195E-2</v>
      </c>
      <c r="H1509" s="4">
        <f t="shared" si="141"/>
        <v>0.69614415706683008</v>
      </c>
      <c r="I1509" s="4">
        <f t="shared" si="142"/>
        <v>-1.1612468769138165</v>
      </c>
    </row>
    <row r="1510" spans="1:9" x14ac:dyDescent="0.25">
      <c r="A1510" s="3">
        <v>42368</v>
      </c>
      <c r="B1510" s="4" t="s">
        <v>0</v>
      </c>
      <c r="C1510" s="4">
        <v>771</v>
      </c>
      <c r="D1510" s="6">
        <f t="shared" si="138"/>
        <v>-7.2108887111270907E-3</v>
      </c>
      <c r="E1510" s="4">
        <f t="shared" si="139"/>
        <v>6.4280946931880301E-3</v>
      </c>
      <c r="F1510" s="6">
        <f t="shared" si="140"/>
        <v>-1.363898340431512E-2</v>
      </c>
      <c r="G1510" s="4">
        <f t="shared" si="143"/>
        <v>2.6642041826300981E-2</v>
      </c>
      <c r="H1510" s="4">
        <f t="shared" si="141"/>
        <v>-0.51193461421754605</v>
      </c>
      <c r="I1510" s="4">
        <f t="shared" si="142"/>
        <v>-1.0499770578217065</v>
      </c>
    </row>
    <row r="1511" spans="1:9" x14ac:dyDescent="0.25">
      <c r="A1511" s="3">
        <v>42369</v>
      </c>
      <c r="B1511" s="4" t="s">
        <v>0</v>
      </c>
      <c r="C1511" s="4">
        <v>758.88000499999998</v>
      </c>
      <c r="D1511" s="6">
        <f t="shared" si="138"/>
        <v>-1.571983787289237E-2</v>
      </c>
      <c r="E1511" s="4">
        <f t="shared" si="139"/>
        <v>1.2837701366672826E-2</v>
      </c>
      <c r="F1511" s="6">
        <f t="shared" si="140"/>
        <v>-2.8557539239565194E-2</v>
      </c>
      <c r="G1511" s="4">
        <f t="shared" si="143"/>
        <v>2.0927085445362949E-2</v>
      </c>
      <c r="H1511" s="4">
        <f t="shared" si="141"/>
        <v>-1.3646209508784231</v>
      </c>
      <c r="I1511" s="4">
        <f t="shared" si="142"/>
        <v>-1.8500337029928384</v>
      </c>
    </row>
    <row r="1512" spans="1:9" x14ac:dyDescent="0.25">
      <c r="A1512" s="3">
        <v>42373</v>
      </c>
      <c r="B1512" s="4" t="s">
        <v>0</v>
      </c>
      <c r="C1512" s="4">
        <v>741.84002699999996</v>
      </c>
      <c r="D1512" s="6">
        <f t="shared" si="138"/>
        <v>-2.2454113809468493E-2</v>
      </c>
      <c r="E1512" s="4">
        <f t="shared" si="139"/>
        <v>2.9021639997831214E-3</v>
      </c>
      <c r="F1512" s="6">
        <f t="shared" si="140"/>
        <v>-2.5356277809251614E-2</v>
      </c>
      <c r="G1512" s="4">
        <f t="shared" si="143"/>
        <v>4.7847056631237166E-2</v>
      </c>
      <c r="H1512" s="4">
        <f t="shared" si="141"/>
        <v>-0.52994436010297141</v>
      </c>
      <c r="I1512" s="4">
        <f t="shared" si="142"/>
        <v>-1.0593590456071464</v>
      </c>
    </row>
    <row r="1513" spans="1:9" x14ac:dyDescent="0.25">
      <c r="A1513" s="3">
        <v>42374</v>
      </c>
      <c r="B1513" s="4" t="s">
        <v>0</v>
      </c>
      <c r="C1513" s="4">
        <v>742.580017</v>
      </c>
      <c r="D1513" s="6">
        <f t="shared" si="138"/>
        <v>9.9750616449283927E-4</v>
      </c>
      <c r="E1513" s="4">
        <f t="shared" si="139"/>
        <v>-8.2181670213795043E-3</v>
      </c>
      <c r="F1513" s="6">
        <f t="shared" si="140"/>
        <v>9.2156731858723442E-3</v>
      </c>
      <c r="G1513" s="4">
        <f t="shared" si="143"/>
        <v>2.6273464837217434E-2</v>
      </c>
      <c r="H1513" s="4">
        <f t="shared" si="141"/>
        <v>0.35075972061431226</v>
      </c>
      <c r="I1513" s="4">
        <f t="shared" si="142"/>
        <v>-0.98045472400738776</v>
      </c>
    </row>
    <row r="1514" spans="1:9" x14ac:dyDescent="0.25">
      <c r="A1514" s="3">
        <v>42375</v>
      </c>
      <c r="B1514" s="4" t="s">
        <v>0</v>
      </c>
      <c r="C1514" s="4">
        <v>743.61999500000002</v>
      </c>
      <c r="D1514" s="6">
        <f t="shared" si="138"/>
        <v>1.4004928441267485E-3</v>
      </c>
      <c r="E1514" s="4">
        <f t="shared" si="139"/>
        <v>-1.3397956222881055E-2</v>
      </c>
      <c r="F1514" s="6">
        <f t="shared" si="140"/>
        <v>1.4798449067007804E-2</v>
      </c>
      <c r="G1514" s="4">
        <f t="shared" si="143"/>
        <v>1.6455327972961883E-2</v>
      </c>
      <c r="H1514" s="4">
        <f t="shared" si="141"/>
        <v>0.89931049027545762</v>
      </c>
      <c r="I1514" s="4">
        <f t="shared" si="142"/>
        <v>-1.3233182121644147</v>
      </c>
    </row>
    <row r="1515" spans="1:9" x14ac:dyDescent="0.25">
      <c r="A1515" s="3">
        <v>42376</v>
      </c>
      <c r="B1515" s="4" t="s">
        <v>0</v>
      </c>
      <c r="C1515" s="4">
        <v>726.39001499999995</v>
      </c>
      <c r="D1515" s="6">
        <f t="shared" si="138"/>
        <v>-2.3170409773610335E-2</v>
      </c>
      <c r="E1515" s="4">
        <f t="shared" si="139"/>
        <v>-6.4952681396180413E-3</v>
      </c>
      <c r="F1515" s="6">
        <f t="shared" si="140"/>
        <v>-1.6675141633992294E-2</v>
      </c>
      <c r="G1515" s="4">
        <f t="shared" si="143"/>
        <v>3.1938007003765832E-2</v>
      </c>
      <c r="H1515" s="4">
        <f t="shared" si="141"/>
        <v>-0.52210964923472258</v>
      </c>
      <c r="I1515" s="4">
        <f t="shared" si="142"/>
        <v>-1.0552377761166751</v>
      </c>
    </row>
    <row r="1516" spans="1:9" x14ac:dyDescent="0.25">
      <c r="A1516" s="3">
        <v>42377</v>
      </c>
      <c r="B1516" s="4" t="s">
        <v>0</v>
      </c>
      <c r="C1516" s="4">
        <v>714.46997099999999</v>
      </c>
      <c r="D1516" s="6">
        <f t="shared" si="138"/>
        <v>-1.6409977772065001E-2</v>
      </c>
      <c r="E1516" s="4">
        <f t="shared" si="139"/>
        <v>8.4040436621625404E-4</v>
      </c>
      <c r="F1516" s="6">
        <f t="shared" si="140"/>
        <v>-1.7250382138281256E-2</v>
      </c>
      <c r="G1516" s="4">
        <f t="shared" si="143"/>
        <v>2.2261764433159921E-2</v>
      </c>
      <c r="H1516" s="4">
        <f t="shared" si="141"/>
        <v>-0.77488836026788688</v>
      </c>
      <c r="I1516" s="4">
        <f t="shared" si="142"/>
        <v>-1.2191645186439999</v>
      </c>
    </row>
    <row r="1517" spans="1:9" x14ac:dyDescent="0.25">
      <c r="A1517" s="3">
        <v>42380</v>
      </c>
      <c r="B1517" s="4" t="s">
        <v>0</v>
      </c>
      <c r="C1517" s="4">
        <v>716.03002900000001</v>
      </c>
      <c r="D1517" s="6">
        <f t="shared" si="138"/>
        <v>2.1835179410220817E-3</v>
      </c>
      <c r="E1517" s="4">
        <f t="shared" si="139"/>
        <v>-8.4289902811039465E-3</v>
      </c>
      <c r="F1517" s="6">
        <f t="shared" si="140"/>
        <v>1.0612508222126029E-2</v>
      </c>
      <c r="G1517" s="4">
        <f t="shared" si="143"/>
        <v>2.8401030773067864E-2</v>
      </c>
      <c r="H1517" s="4">
        <f t="shared" si="141"/>
        <v>0.37366630482262853</v>
      </c>
      <c r="I1517" s="4">
        <f t="shared" si="142"/>
        <v>-0.98875178688457144</v>
      </c>
    </row>
    <row r="1518" spans="1:9" x14ac:dyDescent="0.25">
      <c r="A1518" s="3">
        <v>42381</v>
      </c>
      <c r="B1518" s="4" t="s">
        <v>0</v>
      </c>
      <c r="C1518" s="4">
        <v>726.07000700000003</v>
      </c>
      <c r="D1518" s="6">
        <f t="shared" si="138"/>
        <v>1.4021727571987094E-2</v>
      </c>
      <c r="E1518" s="4">
        <f t="shared" si="139"/>
        <v>-1.3369139035527031E-2</v>
      </c>
      <c r="F1518" s="6">
        <f t="shared" si="140"/>
        <v>2.7390866607514126E-2</v>
      </c>
      <c r="G1518" s="4">
        <f t="shared" si="143"/>
        <v>1.7531111218259968E-2</v>
      </c>
      <c r="H1518" s="4">
        <f t="shared" si="141"/>
        <v>1.5624147417982543</v>
      </c>
      <c r="I1518" s="4">
        <f t="shared" si="142"/>
        <v>-2.1395084458989255</v>
      </c>
    </row>
    <row r="1519" spans="1:9" x14ac:dyDescent="0.25">
      <c r="A1519" s="3">
        <v>42382</v>
      </c>
      <c r="B1519" s="4" t="s">
        <v>0</v>
      </c>
      <c r="C1519" s="4">
        <v>700.55999799999995</v>
      </c>
      <c r="D1519" s="6">
        <f t="shared" si="138"/>
        <v>-3.513436549376716E-2</v>
      </c>
      <c r="E1519" s="4">
        <f t="shared" si="139"/>
        <v>-4.1905980277939028E-3</v>
      </c>
      <c r="F1519" s="6">
        <f t="shared" si="140"/>
        <v>-3.0943767465973257E-2</v>
      </c>
      <c r="G1519" s="4">
        <f t="shared" si="143"/>
        <v>5.4355416544044008E-2</v>
      </c>
      <c r="H1519" s="4">
        <f t="shared" si="141"/>
        <v>-0.56928581240656351</v>
      </c>
      <c r="I1519" s="4">
        <f t="shared" si="142"/>
        <v>-1.0809817013083731</v>
      </c>
    </row>
    <row r="1520" spans="1:9" x14ac:dyDescent="0.25">
      <c r="A1520" s="3">
        <v>42383</v>
      </c>
      <c r="B1520" s="4" t="s">
        <v>0</v>
      </c>
      <c r="C1520" s="4">
        <v>714.71997099999999</v>
      </c>
      <c r="D1520" s="6">
        <f t="shared" si="138"/>
        <v>2.0212363024472942E-2</v>
      </c>
      <c r="E1520" s="4">
        <f t="shared" si="139"/>
        <v>6.028219547660545E-3</v>
      </c>
      <c r="F1520" s="6">
        <f t="shared" si="140"/>
        <v>1.4184143476812397E-2</v>
      </c>
      <c r="G1520" s="4">
        <f t="shared" si="143"/>
        <v>2.8953987107748755E-2</v>
      </c>
      <c r="H1520" s="4">
        <f t="shared" si="141"/>
        <v>0.48988567356985502</v>
      </c>
      <c r="I1520" s="4">
        <f t="shared" si="142"/>
        <v>-1.0389325197891679</v>
      </c>
    </row>
    <row r="1521" spans="1:9" x14ac:dyDescent="0.25">
      <c r="A1521" s="3">
        <v>42384</v>
      </c>
      <c r="B1521" s="4" t="s">
        <v>0</v>
      </c>
      <c r="C1521" s="4">
        <v>694.45001200000002</v>
      </c>
      <c r="D1521" s="6">
        <f t="shared" si="138"/>
        <v>-2.836070044557349E-2</v>
      </c>
      <c r="E1521" s="4">
        <f t="shared" si="139"/>
        <v>-9.1365484015511512E-3</v>
      </c>
      <c r="F1521" s="6">
        <f t="shared" si="140"/>
        <v>-1.9224152044022339E-2</v>
      </c>
      <c r="G1521" s="4">
        <f t="shared" si="143"/>
        <v>2.0750147741855955E-2</v>
      </c>
      <c r="H1521" s="4">
        <f t="shared" si="141"/>
        <v>-0.92645856228023526</v>
      </c>
      <c r="I1521" s="4">
        <f t="shared" si="142"/>
        <v>-1.348101267015853</v>
      </c>
    </row>
    <row r="1522" spans="1:9" x14ac:dyDescent="0.25">
      <c r="A1522" s="3">
        <v>42388</v>
      </c>
      <c r="B1522" s="4" t="s">
        <v>0</v>
      </c>
      <c r="C1522" s="4">
        <v>701.78997800000002</v>
      </c>
      <c r="D1522" s="6">
        <f t="shared" si="138"/>
        <v>1.0569466301629214E-2</v>
      </c>
      <c r="E1522" s="4">
        <f t="shared" si="139"/>
        <v>-3.0337780568811326E-3</v>
      </c>
      <c r="F1522" s="6">
        <f t="shared" si="140"/>
        <v>1.3603244358510347E-2</v>
      </c>
      <c r="G1522" s="4">
        <f t="shared" si="143"/>
        <v>3.3194861418854693E-2</v>
      </c>
      <c r="H1522" s="4">
        <f t="shared" si="141"/>
        <v>0.40979970323911941</v>
      </c>
      <c r="I1522" s="4">
        <f t="shared" si="142"/>
        <v>-1.0029064315921077</v>
      </c>
    </row>
    <row r="1523" spans="1:9" x14ac:dyDescent="0.25">
      <c r="A1523" s="3">
        <v>42389</v>
      </c>
      <c r="B1523" s="4" t="s">
        <v>0</v>
      </c>
      <c r="C1523" s="4">
        <v>698.45001200000002</v>
      </c>
      <c r="D1523" s="6">
        <f t="shared" si="138"/>
        <v>-4.7592101692851534E-3</v>
      </c>
      <c r="E1523" s="4">
        <f t="shared" si="139"/>
        <v>-4.6514140867588349E-3</v>
      </c>
      <c r="F1523" s="6">
        <f t="shared" si="140"/>
        <v>-1.0779608252631852E-4</v>
      </c>
      <c r="G1523" s="4">
        <f t="shared" si="143"/>
        <v>1.9591455106658245E-2</v>
      </c>
      <c r="H1523" s="4">
        <f t="shared" si="141"/>
        <v>-5.5021988892332728E-3</v>
      </c>
      <c r="I1523" s="4">
        <f t="shared" si="142"/>
        <v>-0.91895367030098096</v>
      </c>
    </row>
    <row r="1524" spans="1:9" x14ac:dyDescent="0.25">
      <c r="A1524" s="3">
        <v>42390</v>
      </c>
      <c r="B1524" s="4" t="s">
        <v>0</v>
      </c>
      <c r="C1524" s="4">
        <v>706.59002699999996</v>
      </c>
      <c r="D1524" s="6">
        <f t="shared" si="138"/>
        <v>1.1654398826182494E-2</v>
      </c>
      <c r="E1524" s="4">
        <f t="shared" si="139"/>
        <v>-4.6451351294928426E-3</v>
      </c>
      <c r="F1524" s="6">
        <f t="shared" si="140"/>
        <v>1.6299533955675335E-2</v>
      </c>
      <c r="G1524" s="4">
        <f t="shared" si="143"/>
        <v>8.9863239950311331E-3</v>
      </c>
      <c r="H1524" s="4">
        <f t="shared" si="141"/>
        <v>1.8138155228642929</v>
      </c>
      <c r="I1524" s="4">
        <f t="shared" si="142"/>
        <v>-2.563901908696407</v>
      </c>
    </row>
    <row r="1525" spans="1:9" x14ac:dyDescent="0.25">
      <c r="A1525" s="3">
        <v>42391</v>
      </c>
      <c r="B1525" s="4" t="s">
        <v>0</v>
      </c>
      <c r="C1525" s="4">
        <v>725.25</v>
      </c>
      <c r="D1525" s="6">
        <f t="shared" si="138"/>
        <v>2.6408486232427447E-2</v>
      </c>
      <c r="E1525" s="4">
        <f t="shared" si="139"/>
        <v>1.4178083873538337E-3</v>
      </c>
      <c r="F1525" s="6">
        <f t="shared" si="140"/>
        <v>2.4990677845073615E-2</v>
      </c>
      <c r="G1525" s="4">
        <f t="shared" si="143"/>
        <v>6.2646537612977837E-2</v>
      </c>
      <c r="H1525" s="4">
        <f t="shared" si="141"/>
        <v>0.39891554740762808</v>
      </c>
      <c r="I1525" s="4">
        <f t="shared" si="142"/>
        <v>-0.99850534018643644</v>
      </c>
    </row>
    <row r="1526" spans="1:9" x14ac:dyDescent="0.25">
      <c r="A1526" s="3">
        <v>42394</v>
      </c>
      <c r="B1526" s="4" t="s">
        <v>0</v>
      </c>
      <c r="C1526" s="4">
        <v>711.669983</v>
      </c>
      <c r="D1526" s="6">
        <f t="shared" si="138"/>
        <v>-1.872460117200965E-2</v>
      </c>
      <c r="E1526" s="4">
        <f t="shared" si="139"/>
        <v>2.9982439915133053E-3</v>
      </c>
      <c r="F1526" s="6">
        <f t="shared" si="140"/>
        <v>-2.1722845163522957E-2</v>
      </c>
      <c r="G1526" s="4">
        <f t="shared" si="143"/>
        <v>2.8013488426161758E-2</v>
      </c>
      <c r="H1526" s="4">
        <f t="shared" si="141"/>
        <v>-0.77544234523951761</v>
      </c>
      <c r="I1526" s="4">
        <f t="shared" si="142"/>
        <v>-1.2195939485999543</v>
      </c>
    </row>
    <row r="1527" spans="1:9" x14ac:dyDescent="0.25">
      <c r="A1527" s="3">
        <v>42395</v>
      </c>
      <c r="B1527" s="4" t="s">
        <v>0</v>
      </c>
      <c r="C1527" s="4">
        <v>713.03997800000002</v>
      </c>
      <c r="D1527" s="6">
        <f t="shared" si="138"/>
        <v>1.9250425516401429E-3</v>
      </c>
      <c r="E1527" s="4">
        <f t="shared" si="139"/>
        <v>1.3664226371627487E-2</v>
      </c>
      <c r="F1527" s="6">
        <f t="shared" si="140"/>
        <v>-1.1739183819987344E-2</v>
      </c>
      <c r="G1527" s="4">
        <f t="shared" si="143"/>
        <v>2.9150855636527775E-2</v>
      </c>
      <c r="H1527" s="4">
        <f t="shared" si="141"/>
        <v>-0.40270460553059861</v>
      </c>
      <c r="I1527" s="4">
        <f t="shared" si="142"/>
        <v>-1.0000240328624501</v>
      </c>
    </row>
    <row r="1528" spans="1:9" x14ac:dyDescent="0.25">
      <c r="A1528" s="3">
        <v>42396</v>
      </c>
      <c r="B1528" s="4" t="s">
        <v>0</v>
      </c>
      <c r="C1528" s="4">
        <v>699.98999000000003</v>
      </c>
      <c r="D1528" s="6">
        <f t="shared" si="138"/>
        <v>-1.8301902281277115E-2</v>
      </c>
      <c r="E1528" s="4">
        <f t="shared" si="139"/>
        <v>9.2966994989120751E-4</v>
      </c>
      <c r="F1528" s="6">
        <f t="shared" si="140"/>
        <v>-1.9231572231168323E-2</v>
      </c>
      <c r="G1528" s="4">
        <f t="shared" si="143"/>
        <v>1.8446448864896554E-2</v>
      </c>
      <c r="H1528" s="4">
        <f t="shared" si="141"/>
        <v>-1.042562304106448</v>
      </c>
      <c r="I1528" s="4">
        <f t="shared" si="142"/>
        <v>-1.4624066121765456</v>
      </c>
    </row>
    <row r="1529" spans="1:9" x14ac:dyDescent="0.25">
      <c r="A1529" s="3">
        <v>42397</v>
      </c>
      <c r="B1529" s="4" t="s">
        <v>0</v>
      </c>
      <c r="C1529" s="4">
        <v>730.96002199999998</v>
      </c>
      <c r="D1529" s="6">
        <f t="shared" si="138"/>
        <v>4.4243535539701E-2</v>
      </c>
      <c r="E1529" s="4">
        <f t="shared" si="139"/>
        <v>-4.998912810896353E-3</v>
      </c>
      <c r="F1529" s="6">
        <f t="shared" si="140"/>
        <v>4.9242448350597351E-2</v>
      </c>
      <c r="G1529" s="4">
        <f t="shared" si="143"/>
        <v>3.6863430078184406E-2</v>
      </c>
      <c r="H1529" s="4">
        <f t="shared" si="141"/>
        <v>1.3358075536150062</v>
      </c>
      <c r="I1529" s="4">
        <f t="shared" si="142"/>
        <v>-1.8111294433521266</v>
      </c>
    </row>
    <row r="1530" spans="1:9" x14ac:dyDescent="0.25">
      <c r="A1530" s="3">
        <v>42398</v>
      </c>
      <c r="B1530" s="4" t="s">
        <v>0</v>
      </c>
      <c r="C1530" s="4">
        <v>742.95001200000002</v>
      </c>
      <c r="D1530" s="6">
        <f t="shared" si="138"/>
        <v>1.6403072177865338E-2</v>
      </c>
      <c r="E1530" s="4">
        <f t="shared" si="139"/>
        <v>-6.4060034608840822E-3</v>
      </c>
      <c r="F1530" s="6">
        <f t="shared" si="140"/>
        <v>2.280907563874942E-2</v>
      </c>
      <c r="G1530" s="4">
        <f t="shared" si="143"/>
        <v>4.8286580248689058E-2</v>
      </c>
      <c r="H1530" s="4">
        <f t="shared" si="141"/>
        <v>0.47236883459703416</v>
      </c>
      <c r="I1530" s="4">
        <f t="shared" si="142"/>
        <v>-1.0305046911539528</v>
      </c>
    </row>
    <row r="1531" spans="1:9" x14ac:dyDescent="0.25">
      <c r="A1531" s="3">
        <v>42401</v>
      </c>
      <c r="B1531" s="4" t="s">
        <v>0</v>
      </c>
      <c r="C1531" s="4">
        <v>752</v>
      </c>
      <c r="D1531" s="6">
        <f t="shared" si="138"/>
        <v>1.2181153312909542E-2</v>
      </c>
      <c r="E1531" s="4">
        <f t="shared" si="139"/>
        <v>1.1308714137030447E-2</v>
      </c>
      <c r="F1531" s="6">
        <f t="shared" si="140"/>
        <v>8.7243917587909517E-4</v>
      </c>
      <c r="G1531" s="4">
        <f t="shared" si="143"/>
        <v>2.5064957073953092E-2</v>
      </c>
      <c r="H1531" s="4">
        <f t="shared" si="141"/>
        <v>3.4807128266966525E-2</v>
      </c>
      <c r="I1531" s="4">
        <f t="shared" si="142"/>
        <v>-0.9195443012937693</v>
      </c>
    </row>
    <row r="1532" spans="1:9" x14ac:dyDescent="0.25">
      <c r="A1532" s="3">
        <v>42402</v>
      </c>
      <c r="B1532" s="4" t="s">
        <v>0</v>
      </c>
      <c r="C1532" s="4">
        <v>764.65002400000003</v>
      </c>
      <c r="D1532" s="6">
        <f t="shared" si="138"/>
        <v>1.6821840425531955E-2</v>
      </c>
      <c r="E1532" s="4">
        <f t="shared" si="139"/>
        <v>1.9820477848017326E-2</v>
      </c>
      <c r="F1532" s="6">
        <f t="shared" si="140"/>
        <v>-2.9986374224853715E-3</v>
      </c>
      <c r="G1532" s="4">
        <f t="shared" si="143"/>
        <v>1.0852135174226316E-2</v>
      </c>
      <c r="H1532" s="4">
        <f t="shared" si="141"/>
        <v>-0.27631773603475723</v>
      </c>
      <c r="I1532" s="4">
        <f t="shared" si="142"/>
        <v>-0.95711427882835942</v>
      </c>
    </row>
    <row r="1533" spans="1:9" x14ac:dyDescent="0.25">
      <c r="A1533" s="3">
        <v>42403</v>
      </c>
      <c r="B1533" s="4" t="s">
        <v>0</v>
      </c>
      <c r="C1533" s="4">
        <v>726.95001200000002</v>
      </c>
      <c r="D1533" s="6">
        <f t="shared" si="138"/>
        <v>-4.9303617101566999E-2</v>
      </c>
      <c r="E1533" s="4">
        <f t="shared" si="139"/>
        <v>9.6804153324846799E-3</v>
      </c>
      <c r="F1533" s="6">
        <f t="shared" si="140"/>
        <v>-5.8984032434051675E-2</v>
      </c>
      <c r="G1533" s="4">
        <f t="shared" si="143"/>
        <v>1.1496943823840387E-2</v>
      </c>
      <c r="H1533" s="4">
        <f t="shared" si="141"/>
        <v>-5.1304097278218164</v>
      </c>
      <c r="I1533" s="4">
        <f t="shared" si="142"/>
        <v>-14.079490520869035</v>
      </c>
    </row>
    <row r="1534" spans="1:9" x14ac:dyDescent="0.25">
      <c r="A1534" s="3">
        <v>42404</v>
      </c>
      <c r="B1534" s="4" t="s">
        <v>0</v>
      </c>
      <c r="C1534" s="4">
        <v>708.01000999999997</v>
      </c>
      <c r="D1534" s="6">
        <f t="shared" si="138"/>
        <v>-2.6054063810924111E-2</v>
      </c>
      <c r="E1534" s="4">
        <f t="shared" si="139"/>
        <v>1.0160159059052149E-2</v>
      </c>
      <c r="F1534" s="6">
        <f t="shared" si="140"/>
        <v>-3.6214222869976262E-2</v>
      </c>
      <c r="G1534" s="4">
        <f t="shared" si="143"/>
        <v>0.17649454770929984</v>
      </c>
      <c r="H1534" s="4">
        <f t="shared" si="141"/>
        <v>-0.2051860714112477</v>
      </c>
      <c r="I1534" s="4">
        <f t="shared" si="142"/>
        <v>-0.93998919515526347</v>
      </c>
    </row>
    <row r="1535" spans="1:9" x14ac:dyDescent="0.25">
      <c r="A1535" s="3">
        <v>42405</v>
      </c>
      <c r="B1535" s="4" t="s">
        <v>0</v>
      </c>
      <c r="C1535" s="4">
        <v>683.57000700000003</v>
      </c>
      <c r="D1535" s="6">
        <f t="shared" si="138"/>
        <v>-3.4519290200430833E-2</v>
      </c>
      <c r="E1535" s="4">
        <f t="shared" si="139"/>
        <v>-1.3696543394131854E-2</v>
      </c>
      <c r="F1535" s="6">
        <f t="shared" si="140"/>
        <v>-2.0822746806298979E-2</v>
      </c>
      <c r="G1535" s="4">
        <f t="shared" si="143"/>
        <v>6.7925563417271559E-2</v>
      </c>
      <c r="H1535" s="4">
        <f t="shared" si="141"/>
        <v>-0.30655243414593952</v>
      </c>
      <c r="I1535" s="4">
        <f t="shared" si="142"/>
        <v>-0.96592573064507314</v>
      </c>
    </row>
    <row r="1536" spans="1:9" x14ac:dyDescent="0.25">
      <c r="A1536" s="3">
        <v>42408</v>
      </c>
      <c r="B1536" s="4" t="s">
        <v>0</v>
      </c>
      <c r="C1536" s="4">
        <v>682.73999000000003</v>
      </c>
      <c r="D1536" s="6">
        <f t="shared" si="138"/>
        <v>-1.2142384708227814E-3</v>
      </c>
      <c r="E1536" s="4">
        <f t="shared" si="139"/>
        <v>-2.5059959312564092E-2</v>
      </c>
      <c r="F1536" s="6">
        <f t="shared" si="140"/>
        <v>2.3845720841741309E-2</v>
      </c>
      <c r="G1536" s="4">
        <f t="shared" si="143"/>
        <v>2.8428801962070656E-2</v>
      </c>
      <c r="H1536" s="4">
        <f t="shared" si="141"/>
        <v>0.83878739855291706</v>
      </c>
      <c r="I1536" s="4">
        <f t="shared" si="142"/>
        <v>-1.2707206831902578</v>
      </c>
    </row>
    <row r="1537" spans="1:9" x14ac:dyDescent="0.25">
      <c r="A1537" s="3">
        <v>42409</v>
      </c>
      <c r="B1537" s="4" t="s">
        <v>0</v>
      </c>
      <c r="C1537" s="4">
        <v>678.10998500000005</v>
      </c>
      <c r="D1537" s="6">
        <f t="shared" si="138"/>
        <v>-6.7815055040206197E-3</v>
      </c>
      <c r="E1537" s="4">
        <f t="shared" si="139"/>
        <v>-2.1175146198489533E-2</v>
      </c>
      <c r="F1537" s="6">
        <f t="shared" si="140"/>
        <v>1.4393640694468912E-2</v>
      </c>
      <c r="G1537" s="4">
        <f t="shared" si="143"/>
        <v>3.1209477225444385E-2</v>
      </c>
      <c r="H1537" s="4">
        <f t="shared" si="141"/>
        <v>0.46119454646725389</v>
      </c>
      <c r="I1537" s="4">
        <f t="shared" si="142"/>
        <v>-1.0252887380502407</v>
      </c>
    </row>
    <row r="1538" spans="1:9" x14ac:dyDescent="0.25">
      <c r="A1538" s="3">
        <v>42410</v>
      </c>
      <c r="B1538" s="4" t="s">
        <v>0</v>
      </c>
      <c r="C1538" s="4">
        <v>684.11999500000002</v>
      </c>
      <c r="D1538" s="6">
        <f t="shared" si="138"/>
        <v>8.8628837990049145E-3</v>
      </c>
      <c r="E1538" s="4">
        <f t="shared" si="139"/>
        <v>-1.1035922747980051E-2</v>
      </c>
      <c r="F1538" s="6">
        <f t="shared" si="140"/>
        <v>1.9898806546984966E-2</v>
      </c>
      <c r="G1538" s="4">
        <f t="shared" si="143"/>
        <v>2.0447362233493131E-2</v>
      </c>
      <c r="H1538" s="4">
        <f t="shared" si="141"/>
        <v>0.97317230064963478</v>
      </c>
      <c r="I1538" s="4">
        <f t="shared" si="142"/>
        <v>-1.3924706965805242</v>
      </c>
    </row>
    <row r="1539" spans="1:9" x14ac:dyDescent="0.25">
      <c r="A1539" s="3">
        <v>42411</v>
      </c>
      <c r="B1539" s="4" t="s">
        <v>0</v>
      </c>
      <c r="C1539" s="4">
        <v>683.10998500000005</v>
      </c>
      <c r="D1539" s="6">
        <f t="shared" si="138"/>
        <v>-1.4763638066154837E-3</v>
      </c>
      <c r="E1539" s="4">
        <f t="shared" si="139"/>
        <v>-2.9641145744417016E-3</v>
      </c>
      <c r="F1539" s="6">
        <f t="shared" si="140"/>
        <v>1.4877507678262179E-3</v>
      </c>
      <c r="G1539" s="4">
        <f t="shared" si="143"/>
        <v>3.4712427743650319E-2</v>
      </c>
      <c r="H1539" s="4">
        <f t="shared" si="141"/>
        <v>4.285931191022388E-2</v>
      </c>
      <c r="I1539" s="4">
        <f t="shared" si="142"/>
        <v>-0.91985699351338157</v>
      </c>
    </row>
    <row r="1540" spans="1:9" x14ac:dyDescent="0.25">
      <c r="A1540" s="3">
        <v>42412</v>
      </c>
      <c r="B1540" s="4" t="s">
        <v>0</v>
      </c>
      <c r="C1540" s="4">
        <v>682.40002400000003</v>
      </c>
      <c r="D1540" s="6">
        <f t="shared" ref="D1540:D1603" si="144">(C1540-C1539)/C1539</f>
        <v>-1.0393070158387762E-3</v>
      </c>
      <c r="E1540" s="4">
        <f t="shared" si="139"/>
        <v>1.3112156913499141E-3</v>
      </c>
      <c r="F1540" s="6">
        <f t="shared" si="140"/>
        <v>-2.3505227071886903E-3</v>
      </c>
      <c r="G1540" s="4">
        <f t="shared" si="143"/>
        <v>1.423189599750045E-2</v>
      </c>
      <c r="H1540" s="4">
        <f t="shared" si="141"/>
        <v>-0.16515878893448299</v>
      </c>
      <c r="I1540" s="4">
        <f t="shared" si="142"/>
        <v>-0.93257724598582525</v>
      </c>
    </row>
    <row r="1541" spans="1:9" x14ac:dyDescent="0.25">
      <c r="A1541" s="3">
        <v>42416</v>
      </c>
      <c r="B1541" s="4" t="s">
        <v>0</v>
      </c>
      <c r="C1541" s="4">
        <v>691</v>
      </c>
      <c r="D1541" s="6">
        <f t="shared" si="144"/>
        <v>1.2602543519253993E-2</v>
      </c>
      <c r="E1541" s="4">
        <f t="shared" si="139"/>
        <v>2.1498737826257195E-3</v>
      </c>
      <c r="F1541" s="6">
        <f t="shared" si="140"/>
        <v>1.0452669736628274E-2</v>
      </c>
      <c r="G1541" s="4">
        <f t="shared" si="143"/>
        <v>9.3025889023756868E-3</v>
      </c>
      <c r="H1541" s="4">
        <f t="shared" si="141"/>
        <v>1.1236301900816965</v>
      </c>
      <c r="I1541" s="4">
        <f t="shared" si="142"/>
        <v>-1.5502109352361872</v>
      </c>
    </row>
    <row r="1542" spans="1:9" x14ac:dyDescent="0.25">
      <c r="A1542" s="3">
        <v>42417</v>
      </c>
      <c r="B1542" s="4" t="s">
        <v>0</v>
      </c>
      <c r="C1542" s="4">
        <v>708.40002400000003</v>
      </c>
      <c r="D1542" s="6">
        <f t="shared" si="144"/>
        <v>2.5180931982633908E-2</v>
      </c>
      <c r="E1542" s="4">
        <f t="shared" si="139"/>
        <v>-8.491931015032504E-4</v>
      </c>
      <c r="F1542" s="6">
        <f t="shared" si="140"/>
        <v>2.603012508413716E-2</v>
      </c>
      <c r="G1542" s="4">
        <f t="shared" si="143"/>
        <v>3.9108461946874236E-2</v>
      </c>
      <c r="H1542" s="4">
        <f t="shared" si="141"/>
        <v>0.66558805405073296</v>
      </c>
      <c r="I1542" s="4">
        <f t="shared" si="142"/>
        <v>-1.1404422620521932</v>
      </c>
    </row>
    <row r="1543" spans="1:9" x14ac:dyDescent="0.25">
      <c r="A1543" s="3">
        <v>42418</v>
      </c>
      <c r="B1543" s="4" t="s">
        <v>0</v>
      </c>
      <c r="C1543" s="4">
        <v>697.34997599999997</v>
      </c>
      <c r="D1543" s="6">
        <f t="shared" si="144"/>
        <v>-1.5598599132740939E-2</v>
      </c>
      <c r="E1543" s="4">
        <f t="shared" ref="E1543:E1606" si="145">+$M$16*D1542+$M$17*D1541+$M$18*D1540</f>
        <v>4.4999040209561629E-3</v>
      </c>
      <c r="F1543" s="6">
        <f t="shared" ref="F1543:F1606" si="146">D1543-E1543</f>
        <v>-2.00985031536971E-2</v>
      </c>
      <c r="G1543" s="4">
        <f t="shared" si="143"/>
        <v>2.7770709251063629E-2</v>
      </c>
      <c r="H1543" s="4">
        <f t="shared" ref="H1543:H1606" si="147">F1543/G1543</f>
        <v>-0.72373027897828424</v>
      </c>
      <c r="I1543" s="4">
        <f t="shared" ref="I1543:I1606" si="148">LN(_xlfn.NORM.DIST(H1543,0,1,FALSE))</f>
        <v>-1.180831291559665</v>
      </c>
    </row>
    <row r="1544" spans="1:9" x14ac:dyDescent="0.25">
      <c r="A1544" s="3">
        <v>42419</v>
      </c>
      <c r="B1544" s="4" t="s">
        <v>0</v>
      </c>
      <c r="C1544" s="4">
        <v>700.90997300000004</v>
      </c>
      <c r="D1544" s="6">
        <f t="shared" si="144"/>
        <v>5.1050363841986662E-3</v>
      </c>
      <c r="E1544" s="4">
        <f t="shared" si="145"/>
        <v>1.3485391824069468E-2</v>
      </c>
      <c r="F1544" s="6">
        <f t="shared" si="146"/>
        <v>-8.380355439870802E-3</v>
      </c>
      <c r="G1544" s="4">
        <f t="shared" ref="G1544:G1607" si="149">SQRT($M$12 + $M$13 *H1543^2+$M$14*G1543^2)</f>
        <v>2.7498716427138008E-2</v>
      </c>
      <c r="H1544" s="4">
        <f t="shared" si="147"/>
        <v>-0.30475442234097783</v>
      </c>
      <c r="I1544" s="4">
        <f t="shared" si="148"/>
        <v>-0.96537616217286426</v>
      </c>
    </row>
    <row r="1545" spans="1:9" x14ac:dyDescent="0.25">
      <c r="A1545" s="3">
        <v>42422</v>
      </c>
      <c r="B1545" s="4" t="s">
        <v>0</v>
      </c>
      <c r="C1545" s="4">
        <v>706.46002199999998</v>
      </c>
      <c r="D1545" s="6">
        <f t="shared" si="144"/>
        <v>7.9183478817470669E-3</v>
      </c>
      <c r="E1545" s="4">
        <f t="shared" si="145"/>
        <v>1.7487979583000269E-3</v>
      </c>
      <c r="F1545" s="6">
        <f t="shared" si="146"/>
        <v>6.1695499234470401E-3</v>
      </c>
      <c r="G1545" s="4">
        <f t="shared" si="149"/>
        <v>1.5644138193853959E-2</v>
      </c>
      <c r="H1545" s="4">
        <f t="shared" si="147"/>
        <v>0.39436815547121945</v>
      </c>
      <c r="I1545" s="4">
        <f t="shared" si="148"/>
        <v>-0.99670165422955859</v>
      </c>
    </row>
    <row r="1546" spans="1:9" x14ac:dyDescent="0.25">
      <c r="A1546" s="3">
        <v>42423</v>
      </c>
      <c r="B1546" s="4" t="s">
        <v>0</v>
      </c>
      <c r="C1546" s="4">
        <v>695.84997599999997</v>
      </c>
      <c r="D1546" s="6">
        <f t="shared" si="144"/>
        <v>-1.5018607804533363E-2</v>
      </c>
      <c r="E1546" s="4">
        <f t="shared" si="145"/>
        <v>-2.825397809539382E-3</v>
      </c>
      <c r="F1546" s="6">
        <f t="shared" si="146"/>
        <v>-1.2193209994993981E-2</v>
      </c>
      <c r="G1546" s="4">
        <f t="shared" si="149"/>
        <v>1.5628531636946271E-2</v>
      </c>
      <c r="H1546" s="4">
        <f t="shared" si="147"/>
        <v>-0.78018909762251132</v>
      </c>
      <c r="I1546" s="4">
        <f t="shared" si="148"/>
        <v>-1.2232860472291871</v>
      </c>
    </row>
    <row r="1547" spans="1:9" x14ac:dyDescent="0.25">
      <c r="A1547" s="3">
        <v>42424</v>
      </c>
      <c r="B1547" s="4" t="s">
        <v>0</v>
      </c>
      <c r="C1547" s="4">
        <v>699.55999799999995</v>
      </c>
      <c r="D1547" s="6">
        <f t="shared" si="144"/>
        <v>5.3316406236392265E-3</v>
      </c>
      <c r="E1547" s="4">
        <f t="shared" si="145"/>
        <v>4.5901481412493625E-3</v>
      </c>
      <c r="F1547" s="6">
        <f t="shared" si="146"/>
        <v>7.4149248238986401E-4</v>
      </c>
      <c r="G1547" s="4">
        <f t="shared" si="149"/>
        <v>2.792373008178025E-2</v>
      </c>
      <c r="H1547" s="4">
        <f t="shared" si="147"/>
        <v>2.6554206054071373E-2</v>
      </c>
      <c r="I1547" s="4">
        <f t="shared" si="148"/>
        <v>-0.91929109613425364</v>
      </c>
    </row>
    <row r="1548" spans="1:9" x14ac:dyDescent="0.25">
      <c r="A1548" s="3">
        <v>42425</v>
      </c>
      <c r="B1548" s="4" t="s">
        <v>0</v>
      </c>
      <c r="C1548" s="4">
        <v>705.75</v>
      </c>
      <c r="D1548" s="6">
        <f t="shared" si="144"/>
        <v>8.8484218904695718E-3</v>
      </c>
      <c r="E1548" s="4">
        <f t="shared" si="145"/>
        <v>-3.3161834464923673E-3</v>
      </c>
      <c r="F1548" s="6">
        <f t="shared" si="146"/>
        <v>1.2164605336961939E-2</v>
      </c>
      <c r="G1548" s="4">
        <f t="shared" si="149"/>
        <v>1.1800210715435726E-2</v>
      </c>
      <c r="H1548" s="4">
        <f t="shared" si="147"/>
        <v>1.0308803486915326</v>
      </c>
      <c r="I1548" s="4">
        <f t="shared" si="148"/>
        <v>-1.4502956798638607</v>
      </c>
    </row>
    <row r="1549" spans="1:9" x14ac:dyDescent="0.25">
      <c r="A1549" s="3">
        <v>42426</v>
      </c>
      <c r="B1549" s="4" t="s">
        <v>0</v>
      </c>
      <c r="C1549" s="4">
        <v>705.07000700000003</v>
      </c>
      <c r="D1549" s="6">
        <f t="shared" si="144"/>
        <v>-9.6350407368043589E-4</v>
      </c>
      <c r="E1549" s="4">
        <f t="shared" si="145"/>
        <v>-2.5611294893825428E-3</v>
      </c>
      <c r="F1549" s="6">
        <f t="shared" si="146"/>
        <v>1.5976254157021069E-3</v>
      </c>
      <c r="G1549" s="4">
        <f t="shared" si="149"/>
        <v>3.6069277123150639E-2</v>
      </c>
      <c r="H1549" s="4">
        <f t="shared" si="147"/>
        <v>4.4293247415171787E-2</v>
      </c>
      <c r="I1549" s="4">
        <f t="shared" si="148"/>
        <v>-0.91991947908796357</v>
      </c>
    </row>
    <row r="1550" spans="1:9" x14ac:dyDescent="0.25">
      <c r="A1550" s="3">
        <v>42429</v>
      </c>
      <c r="B1550" s="4" t="s">
        <v>0</v>
      </c>
      <c r="C1550" s="4">
        <v>697.77002000000005</v>
      </c>
      <c r="D1550" s="6">
        <f t="shared" si="144"/>
        <v>-1.0353563373175775E-2</v>
      </c>
      <c r="E1550" s="4">
        <f t="shared" si="145"/>
        <v>5.0153752589014462E-3</v>
      </c>
      <c r="F1550" s="6">
        <f t="shared" si="146"/>
        <v>-1.5368938632077221E-2</v>
      </c>
      <c r="G1550" s="4">
        <f t="shared" si="149"/>
        <v>1.4720389808844769E-2</v>
      </c>
      <c r="H1550" s="4">
        <f t="shared" si="147"/>
        <v>-1.0440578565958063</v>
      </c>
      <c r="I1550" s="4">
        <f t="shared" si="148"/>
        <v>-1.4639669371643873</v>
      </c>
    </row>
    <row r="1551" spans="1:9" x14ac:dyDescent="0.25">
      <c r="A1551" s="3">
        <v>42430</v>
      </c>
      <c r="B1551" s="4" t="s">
        <v>0</v>
      </c>
      <c r="C1551" s="4">
        <v>718.80999799999995</v>
      </c>
      <c r="D1551" s="6">
        <f t="shared" si="144"/>
        <v>3.0153169951325658E-2</v>
      </c>
      <c r="E1551" s="4">
        <f t="shared" si="145"/>
        <v>2.3413141219638953E-3</v>
      </c>
      <c r="F1551" s="6">
        <f t="shared" si="146"/>
        <v>2.7811855829361763E-2</v>
      </c>
      <c r="G1551" s="4">
        <f t="shared" si="149"/>
        <v>3.6668674528235738E-2</v>
      </c>
      <c r="H1551" s="4">
        <f t="shared" si="147"/>
        <v>0.75846362561990022</v>
      </c>
      <c r="I1551" s="4">
        <f t="shared" si="148"/>
        <v>-1.2065720688989148</v>
      </c>
    </row>
    <row r="1552" spans="1:9" x14ac:dyDescent="0.25">
      <c r="A1552" s="3">
        <v>42431</v>
      </c>
      <c r="B1552" s="4" t="s">
        <v>0</v>
      </c>
      <c r="C1552" s="4">
        <v>718.84997599999997</v>
      </c>
      <c r="D1552" s="6">
        <f t="shared" si="144"/>
        <v>5.561692256820719E-5</v>
      </c>
      <c r="E1552" s="4">
        <f t="shared" si="145"/>
        <v>-4.2524242880328895E-3</v>
      </c>
      <c r="F1552" s="6">
        <f t="shared" si="146"/>
        <v>4.3080412106010968E-3</v>
      </c>
      <c r="G1552" s="4">
        <f t="shared" si="149"/>
        <v>3.0009586378960576E-2</v>
      </c>
      <c r="H1552" s="4">
        <f t="shared" si="147"/>
        <v>0.14355550110552079</v>
      </c>
      <c r="I1552" s="4">
        <f t="shared" si="148"/>
        <v>-0.92924262415350123</v>
      </c>
    </row>
    <row r="1553" spans="1:9" x14ac:dyDescent="0.25">
      <c r="A1553" s="3">
        <v>42432</v>
      </c>
      <c r="B1553" s="4" t="s">
        <v>0</v>
      </c>
      <c r="C1553" s="4">
        <v>712.419983</v>
      </c>
      <c r="D1553" s="6">
        <f t="shared" si="144"/>
        <v>-8.9448330175641091E-3</v>
      </c>
      <c r="E1553" s="4">
        <f t="shared" si="145"/>
        <v>8.3561296315340858E-3</v>
      </c>
      <c r="F1553" s="6">
        <f t="shared" si="146"/>
        <v>-1.7300962649098195E-2</v>
      </c>
      <c r="G1553" s="4">
        <f t="shared" si="149"/>
        <v>1.3430403534648276E-2</v>
      </c>
      <c r="H1553" s="4">
        <f t="shared" si="147"/>
        <v>-1.2881938062742866</v>
      </c>
      <c r="I1553" s="4">
        <f t="shared" si="148"/>
        <v>-1.7486601744663899</v>
      </c>
    </row>
    <row r="1554" spans="1:9" x14ac:dyDescent="0.25">
      <c r="A1554" s="3">
        <v>42433</v>
      </c>
      <c r="B1554" s="4" t="s">
        <v>0</v>
      </c>
      <c r="C1554" s="4">
        <v>710.89001499999995</v>
      </c>
      <c r="D1554" s="6">
        <f t="shared" si="144"/>
        <v>-2.1475646900826102E-3</v>
      </c>
      <c r="E1554" s="4">
        <f t="shared" si="145"/>
        <v>9.2555572958130401E-3</v>
      </c>
      <c r="F1554" s="6">
        <f t="shared" si="146"/>
        <v>-1.140312198589565E-2</v>
      </c>
      <c r="G1554" s="4">
        <f t="shared" si="149"/>
        <v>4.4857560510563561E-2</v>
      </c>
      <c r="H1554" s="4">
        <f t="shared" si="147"/>
        <v>-0.25420735894031321</v>
      </c>
      <c r="I1554" s="4">
        <f t="shared" si="148"/>
        <v>-0.95124922387437727</v>
      </c>
    </row>
    <row r="1555" spans="1:9" x14ac:dyDescent="0.25">
      <c r="A1555" s="3">
        <v>42436</v>
      </c>
      <c r="B1555" s="4" t="s">
        <v>0</v>
      </c>
      <c r="C1555" s="4">
        <v>695.15997300000004</v>
      </c>
      <c r="D1555" s="6">
        <f t="shared" si="144"/>
        <v>-2.2127251287950518E-2</v>
      </c>
      <c r="E1555" s="4">
        <f t="shared" si="145"/>
        <v>-3.4024339101083757E-3</v>
      </c>
      <c r="F1555" s="6">
        <f t="shared" si="146"/>
        <v>-1.8724817377842144E-2</v>
      </c>
      <c r="G1555" s="4">
        <f t="shared" si="149"/>
        <v>1.9859021136356968E-2</v>
      </c>
      <c r="H1555" s="4">
        <f t="shared" si="147"/>
        <v>-0.94288722738512132</v>
      </c>
      <c r="I1555" s="4">
        <f t="shared" si="148"/>
        <v>-1.3634566949876734</v>
      </c>
    </row>
    <row r="1556" spans="1:9" x14ac:dyDescent="0.25">
      <c r="A1556" s="3">
        <v>42437</v>
      </c>
      <c r="B1556" s="4" t="s">
        <v>0</v>
      </c>
      <c r="C1556" s="4">
        <v>693.96997099999999</v>
      </c>
      <c r="D1556" s="6">
        <f t="shared" si="144"/>
        <v>-1.7118390675811385E-3</v>
      </c>
      <c r="E1556" s="4">
        <f t="shared" si="145"/>
        <v>-3.5607867954607192E-3</v>
      </c>
      <c r="F1556" s="6">
        <f t="shared" si="146"/>
        <v>1.8489477278795807E-3</v>
      </c>
      <c r="G1556" s="4">
        <f t="shared" si="149"/>
        <v>3.3658869175908608E-2</v>
      </c>
      <c r="H1556" s="4">
        <f t="shared" si="147"/>
        <v>5.4931962158816912E-2</v>
      </c>
      <c r="I1556" s="4">
        <f t="shared" si="148"/>
        <v>-0.92044729343798148</v>
      </c>
    </row>
    <row r="1557" spans="1:9" x14ac:dyDescent="0.25">
      <c r="A1557" s="3">
        <v>42438</v>
      </c>
      <c r="B1557" s="4" t="s">
        <v>0</v>
      </c>
      <c r="C1557" s="4">
        <v>705.23999000000003</v>
      </c>
      <c r="D1557" s="6">
        <f t="shared" si="144"/>
        <v>1.6239923153677852E-2</v>
      </c>
      <c r="E1557" s="4">
        <f t="shared" si="145"/>
        <v>-9.1165189755343223E-3</v>
      </c>
      <c r="F1557" s="6">
        <f t="shared" si="146"/>
        <v>2.5356442129212176E-2</v>
      </c>
      <c r="G1557" s="4">
        <f t="shared" si="149"/>
        <v>1.3908456286035285E-2</v>
      </c>
      <c r="H1557" s="4">
        <f t="shared" si="147"/>
        <v>1.8230953606742959</v>
      </c>
      <c r="I1557" s="4">
        <f t="shared" si="148"/>
        <v>-2.5807768802607431</v>
      </c>
    </row>
    <row r="1558" spans="1:9" x14ac:dyDescent="0.25">
      <c r="A1558" s="3">
        <v>42439</v>
      </c>
      <c r="B1558" s="4" t="s">
        <v>0</v>
      </c>
      <c r="C1558" s="4">
        <v>712.82000700000003</v>
      </c>
      <c r="D1558" s="6">
        <f t="shared" si="144"/>
        <v>1.0748138374853073E-2</v>
      </c>
      <c r="E1558" s="4">
        <f t="shared" si="145"/>
        <v>-7.4305953531474574E-3</v>
      </c>
      <c r="F1558" s="6">
        <f t="shared" si="146"/>
        <v>1.817873372800053E-2</v>
      </c>
      <c r="G1558" s="4">
        <f t="shared" si="149"/>
        <v>6.3094343048585383E-2</v>
      </c>
      <c r="H1558" s="4">
        <f t="shared" si="147"/>
        <v>0.28811986700617703</v>
      </c>
      <c r="I1558" s="4">
        <f t="shared" si="148"/>
        <v>-0.96044506208650127</v>
      </c>
    </row>
    <row r="1559" spans="1:9" x14ac:dyDescent="0.25">
      <c r="A1559" s="3">
        <v>42440</v>
      </c>
      <c r="B1559" s="4" t="s">
        <v>0</v>
      </c>
      <c r="C1559" s="4">
        <v>726.82000700000003</v>
      </c>
      <c r="D1559" s="6">
        <f t="shared" si="144"/>
        <v>1.9640301706627041E-2</v>
      </c>
      <c r="E1559" s="4">
        <f t="shared" si="145"/>
        <v>5.6841455738617219E-3</v>
      </c>
      <c r="F1559" s="6">
        <f t="shared" si="146"/>
        <v>1.3956156132765319E-2</v>
      </c>
      <c r="G1559" s="4">
        <f t="shared" si="149"/>
        <v>2.6514177325589829E-2</v>
      </c>
      <c r="H1559" s="4">
        <f t="shared" si="147"/>
        <v>0.52636579899824787</v>
      </c>
      <c r="I1559" s="4">
        <f t="shared" si="148"/>
        <v>-1.0574690103822046</v>
      </c>
    </row>
    <row r="1560" spans="1:9" x14ac:dyDescent="0.25">
      <c r="A1560" s="3">
        <v>42443</v>
      </c>
      <c r="B1560" s="4" t="s">
        <v>0</v>
      </c>
      <c r="C1560" s="4">
        <v>730.48999000000003</v>
      </c>
      <c r="D1560" s="6">
        <f t="shared" si="144"/>
        <v>5.0493698091059868E-3</v>
      </c>
      <c r="E1560" s="4">
        <f t="shared" si="145"/>
        <v>9.0826951237622314E-3</v>
      </c>
      <c r="F1560" s="6">
        <f t="shared" si="146"/>
        <v>-4.0333253146562446E-3</v>
      </c>
      <c r="G1560" s="4">
        <f t="shared" si="149"/>
        <v>2.1322767848714626E-2</v>
      </c>
      <c r="H1560" s="4">
        <f t="shared" si="147"/>
        <v>-0.18915580487827618</v>
      </c>
      <c r="I1560" s="4">
        <f t="shared" si="148"/>
        <v>-0.93682849246424693</v>
      </c>
    </row>
    <row r="1561" spans="1:9" x14ac:dyDescent="0.25">
      <c r="A1561" s="3">
        <v>42444</v>
      </c>
      <c r="B1561" s="4" t="s">
        <v>0</v>
      </c>
      <c r="C1561" s="4">
        <v>728.330017</v>
      </c>
      <c r="D1561" s="6">
        <f t="shared" si="144"/>
        <v>-2.9568824071087357E-3</v>
      </c>
      <c r="E1561" s="4">
        <f t="shared" si="145"/>
        <v>1.0799821303895696E-2</v>
      </c>
      <c r="F1561" s="6">
        <f t="shared" si="146"/>
        <v>-1.3756703711004431E-2</v>
      </c>
      <c r="G1561" s="4">
        <f t="shared" si="149"/>
        <v>1.1546658814320029E-2</v>
      </c>
      <c r="H1561" s="4">
        <f t="shared" si="147"/>
        <v>-1.1914012470814095</v>
      </c>
      <c r="I1561" s="4">
        <f t="shared" si="148"/>
        <v>-1.6286569989782416</v>
      </c>
    </row>
    <row r="1562" spans="1:9" x14ac:dyDescent="0.25">
      <c r="A1562" s="3">
        <v>42445</v>
      </c>
      <c r="B1562" s="4" t="s">
        <v>0</v>
      </c>
      <c r="C1562" s="4">
        <v>736.09002699999996</v>
      </c>
      <c r="D1562" s="6">
        <f t="shared" si="144"/>
        <v>1.0654524485978952E-2</v>
      </c>
      <c r="E1562" s="4">
        <f t="shared" si="145"/>
        <v>7.9450958444064138E-3</v>
      </c>
      <c r="F1562" s="6">
        <f t="shared" si="146"/>
        <v>2.709428641572538E-3</v>
      </c>
      <c r="G1562" s="4">
        <f t="shared" si="149"/>
        <v>4.1493431951269262E-2</v>
      </c>
      <c r="H1562" s="4">
        <f t="shared" si="147"/>
        <v>6.5297771578753633E-2</v>
      </c>
      <c r="I1562" s="4">
        <f t="shared" si="148"/>
        <v>-0.92107043269124811</v>
      </c>
    </row>
    <row r="1563" spans="1:9" x14ac:dyDescent="0.25">
      <c r="A1563" s="3">
        <v>42446</v>
      </c>
      <c r="B1563" s="4" t="s">
        <v>0</v>
      </c>
      <c r="C1563" s="4">
        <v>737.78002900000001</v>
      </c>
      <c r="D1563" s="6">
        <f t="shared" si="144"/>
        <v>2.2959175345545735E-3</v>
      </c>
      <c r="E1563" s="4">
        <f t="shared" si="145"/>
        <v>4.1623907385355229E-4</v>
      </c>
      <c r="F1563" s="6">
        <f t="shared" si="146"/>
        <v>1.8796784607010212E-3</v>
      </c>
      <c r="G1563" s="4">
        <f t="shared" si="149"/>
        <v>1.6754641280478502E-2</v>
      </c>
      <c r="H1563" s="4">
        <f t="shared" si="147"/>
        <v>0.11218852312231294</v>
      </c>
      <c r="I1563" s="4">
        <f t="shared" si="148"/>
        <v>-0.92523166556485548</v>
      </c>
    </row>
    <row r="1564" spans="1:9" x14ac:dyDescent="0.25">
      <c r="A1564" s="3">
        <v>42447</v>
      </c>
      <c r="B1564" s="4" t="s">
        <v>0</v>
      </c>
      <c r="C1564" s="4">
        <v>737.59997599999997</v>
      </c>
      <c r="D1564" s="6">
        <f t="shared" si="144"/>
        <v>-2.4404699628978915E-4</v>
      </c>
      <c r="E1564" s="4">
        <f t="shared" si="145"/>
        <v>3.1674974208171806E-3</v>
      </c>
      <c r="F1564" s="6">
        <f t="shared" si="146"/>
        <v>-3.4115444171069699E-3</v>
      </c>
      <c r="G1564" s="4">
        <f t="shared" si="149"/>
        <v>8.9759421064004689E-3</v>
      </c>
      <c r="H1564" s="4">
        <f t="shared" si="147"/>
        <v>-0.38007647293918062</v>
      </c>
      <c r="I1564" s="4">
        <f t="shared" si="148"/>
        <v>-0.99116759584561653</v>
      </c>
    </row>
    <row r="1565" spans="1:9" x14ac:dyDescent="0.25">
      <c r="A1565" s="3">
        <v>42450</v>
      </c>
      <c r="B1565" s="4" t="s">
        <v>0</v>
      </c>
      <c r="C1565" s="4">
        <v>742.09002699999996</v>
      </c>
      <c r="D1565" s="6">
        <f t="shared" si="144"/>
        <v>6.0873795364657039E-3</v>
      </c>
      <c r="E1565" s="4">
        <f t="shared" si="145"/>
        <v>4.1406483698728886E-3</v>
      </c>
      <c r="F1565" s="6">
        <f t="shared" si="146"/>
        <v>1.9467311665928152E-3</v>
      </c>
      <c r="G1565" s="4">
        <f t="shared" si="149"/>
        <v>1.4396076492450699E-2</v>
      </c>
      <c r="H1565" s="4">
        <f t="shared" si="147"/>
        <v>0.1352265089459396</v>
      </c>
      <c r="I1565" s="4">
        <f t="shared" si="148"/>
        <v>-0.92808163756552586</v>
      </c>
    </row>
    <row r="1566" spans="1:9" x14ac:dyDescent="0.25">
      <c r="A1566" s="3">
        <v>42451</v>
      </c>
      <c r="B1566" s="4" t="s">
        <v>0</v>
      </c>
      <c r="C1566" s="4">
        <v>740.75</v>
      </c>
      <c r="D1566" s="6">
        <f t="shared" si="144"/>
        <v>-1.8057472156272E-3</v>
      </c>
      <c r="E1566" s="4">
        <f t="shared" si="145"/>
        <v>6.0995747754451885E-4</v>
      </c>
      <c r="F1566" s="6">
        <f t="shared" si="146"/>
        <v>-2.4157046931717191E-3</v>
      </c>
      <c r="G1566" s="4">
        <f t="shared" si="149"/>
        <v>8.7519863562432864E-3</v>
      </c>
      <c r="H1566" s="4">
        <f t="shared" si="147"/>
        <v>-0.27601787695297997</v>
      </c>
      <c r="I1566" s="4">
        <f t="shared" si="148"/>
        <v>-0.95703146740348777</v>
      </c>
    </row>
    <row r="1567" spans="1:9" x14ac:dyDescent="0.25">
      <c r="A1567" s="3">
        <v>42452</v>
      </c>
      <c r="B1567" s="4" t="s">
        <v>0</v>
      </c>
      <c r="C1567" s="4">
        <v>738.05999799999995</v>
      </c>
      <c r="D1567" s="6">
        <f t="shared" si="144"/>
        <v>-3.6314573067837319E-3</v>
      </c>
      <c r="E1567" s="4">
        <f t="shared" si="145"/>
        <v>2.2523026364244495E-3</v>
      </c>
      <c r="F1567" s="6">
        <f t="shared" si="146"/>
        <v>-5.8837599432081814E-3</v>
      </c>
      <c r="G1567" s="4">
        <f t="shared" si="149"/>
        <v>1.1224273244932415E-2</v>
      </c>
      <c r="H1567" s="4">
        <f t="shared" si="147"/>
        <v>-0.5241996354520867</v>
      </c>
      <c r="I1567" s="4">
        <f t="shared" si="148"/>
        <v>-1.056331162108723</v>
      </c>
    </row>
    <row r="1568" spans="1:9" x14ac:dyDescent="0.25">
      <c r="A1568" s="3">
        <v>42453</v>
      </c>
      <c r="B1568" s="4" t="s">
        <v>0</v>
      </c>
      <c r="C1568" s="4">
        <v>735.29998799999998</v>
      </c>
      <c r="D1568" s="6">
        <f t="shared" si="144"/>
        <v>-3.7395469304379856E-3</v>
      </c>
      <c r="E1568" s="4">
        <f t="shared" si="145"/>
        <v>1.173901187338356E-3</v>
      </c>
      <c r="F1568" s="6">
        <f t="shared" si="146"/>
        <v>-4.9134481177763416E-3</v>
      </c>
      <c r="G1568" s="4">
        <f t="shared" si="149"/>
        <v>1.9180352192226229E-2</v>
      </c>
      <c r="H1568" s="4">
        <f t="shared" si="147"/>
        <v>-0.25617090179229113</v>
      </c>
      <c r="I1568" s="4">
        <f t="shared" si="148"/>
        <v>-0.95175029866721061</v>
      </c>
    </row>
    <row r="1569" spans="1:9" x14ac:dyDescent="0.25">
      <c r="A1569" s="3">
        <v>42457</v>
      </c>
      <c r="B1569" s="4" t="s">
        <v>0</v>
      </c>
      <c r="C1569" s="4">
        <v>733.53002900000001</v>
      </c>
      <c r="D1569" s="6">
        <f t="shared" si="144"/>
        <v>-2.4071250222840635E-3</v>
      </c>
      <c r="E1569" s="4">
        <f t="shared" si="145"/>
        <v>-1.9413195273720271E-3</v>
      </c>
      <c r="F1569" s="6">
        <f t="shared" si="146"/>
        <v>-4.6580549491203639E-4</v>
      </c>
      <c r="G1569" s="4">
        <f t="shared" si="149"/>
        <v>1.2487970325510923E-2</v>
      </c>
      <c r="H1569" s="4">
        <f t="shared" si="147"/>
        <v>-3.7300336465443895E-2</v>
      </c>
      <c r="I1569" s="4">
        <f t="shared" si="148"/>
        <v>-0.91963419075489039</v>
      </c>
    </row>
    <row r="1570" spans="1:9" x14ac:dyDescent="0.25">
      <c r="A1570" s="3">
        <v>42458</v>
      </c>
      <c r="B1570" s="4" t="s">
        <v>0</v>
      </c>
      <c r="C1570" s="4">
        <v>744.77002000000005</v>
      </c>
      <c r="D1570" s="6">
        <f t="shared" si="144"/>
        <v>1.5323150458234385E-2</v>
      </c>
      <c r="E1570" s="4">
        <f t="shared" si="145"/>
        <v>-2.5417410495784448E-3</v>
      </c>
      <c r="F1570" s="6">
        <f t="shared" si="146"/>
        <v>1.7864891507812831E-2</v>
      </c>
      <c r="G1570" s="4">
        <f t="shared" si="149"/>
        <v>7.0111056787225609E-3</v>
      </c>
      <c r="H1570" s="4">
        <f t="shared" si="147"/>
        <v>2.5480847567352392</v>
      </c>
      <c r="I1570" s="4">
        <f t="shared" si="148"/>
        <v>-4.1653064969579141</v>
      </c>
    </row>
    <row r="1571" spans="1:9" x14ac:dyDescent="0.25">
      <c r="A1571" s="3">
        <v>42459</v>
      </c>
      <c r="B1571" s="4" t="s">
        <v>0</v>
      </c>
      <c r="C1571" s="4">
        <v>750.53002900000001</v>
      </c>
      <c r="D1571" s="6">
        <f t="shared" si="144"/>
        <v>7.7339431573789285E-3</v>
      </c>
      <c r="E1571" s="4">
        <f t="shared" si="145"/>
        <v>-2.0651319238910223E-3</v>
      </c>
      <c r="F1571" s="6">
        <f t="shared" si="146"/>
        <v>9.7990750812699499E-3</v>
      </c>
      <c r="G1571" s="4">
        <f t="shared" si="149"/>
        <v>8.777849152746256E-2</v>
      </c>
      <c r="H1571" s="4">
        <f t="shared" si="147"/>
        <v>0.11163412483802129</v>
      </c>
      <c r="I1571" s="4">
        <f t="shared" si="148"/>
        <v>-0.92516962211884812</v>
      </c>
    </row>
    <row r="1572" spans="1:9" x14ac:dyDescent="0.25">
      <c r="A1572" s="3">
        <v>42460</v>
      </c>
      <c r="B1572" s="4" t="s">
        <v>0</v>
      </c>
      <c r="C1572" s="4">
        <v>744.95001200000002</v>
      </c>
      <c r="D1572" s="6">
        <f t="shared" si="144"/>
        <v>-7.4347684761324829E-3</v>
      </c>
      <c r="E1572" s="4">
        <f t="shared" si="145"/>
        <v>5.120689279471311E-3</v>
      </c>
      <c r="F1572" s="6">
        <f t="shared" si="146"/>
        <v>-1.2555457755603794E-2</v>
      </c>
      <c r="G1572" s="4">
        <f t="shared" si="149"/>
        <v>3.4092874289049724E-2</v>
      </c>
      <c r="H1572" s="4">
        <f t="shared" si="147"/>
        <v>-0.36827219814776591</v>
      </c>
      <c r="I1572" s="4">
        <f t="shared" si="148"/>
        <v>-0.98675073916896638</v>
      </c>
    </row>
    <row r="1573" spans="1:9" x14ac:dyDescent="0.25">
      <c r="A1573" s="3">
        <v>42461</v>
      </c>
      <c r="B1573" s="4" t="s">
        <v>0</v>
      </c>
      <c r="C1573" s="4">
        <v>749.90997300000004</v>
      </c>
      <c r="D1573" s="6">
        <f t="shared" si="144"/>
        <v>6.6581125177564548E-3</v>
      </c>
      <c r="E1573" s="4">
        <f t="shared" si="145"/>
        <v>7.6491257643078328E-3</v>
      </c>
      <c r="F1573" s="6">
        <f t="shared" si="146"/>
        <v>-9.9101324655137806E-4</v>
      </c>
      <c r="G1573" s="4">
        <f t="shared" si="149"/>
        <v>1.8826707468980974E-2</v>
      </c>
      <c r="H1573" s="4">
        <f t="shared" si="147"/>
        <v>-5.263869150695516E-2</v>
      </c>
      <c r="I1573" s="4">
        <f t="shared" si="148"/>
        <v>-0.92032394912645488</v>
      </c>
    </row>
    <row r="1574" spans="1:9" x14ac:dyDescent="0.25">
      <c r="A1574" s="3">
        <v>42464</v>
      </c>
      <c r="B1574" s="4" t="s">
        <v>0</v>
      </c>
      <c r="C1574" s="4">
        <v>745.28997800000002</v>
      </c>
      <c r="D1574" s="6">
        <f t="shared" si="144"/>
        <v>-6.1607328430609053E-3</v>
      </c>
      <c r="E1574" s="4">
        <f t="shared" si="145"/>
        <v>-4.7348710967958039E-4</v>
      </c>
      <c r="F1574" s="6">
        <f t="shared" si="146"/>
        <v>-5.6872457333813249E-3</v>
      </c>
      <c r="G1574" s="4">
        <f t="shared" si="149"/>
        <v>8.9281251137809017E-3</v>
      </c>
      <c r="H1574" s="4">
        <f t="shared" si="147"/>
        <v>-0.63700336418929038</v>
      </c>
      <c r="I1574" s="4">
        <f t="shared" si="148"/>
        <v>-1.1218251761989095</v>
      </c>
    </row>
    <row r="1575" spans="1:9" x14ac:dyDescent="0.25">
      <c r="A1575" s="3">
        <v>42465</v>
      </c>
      <c r="B1575" s="4" t="s">
        <v>0</v>
      </c>
      <c r="C1575" s="4">
        <v>737.79998799999998</v>
      </c>
      <c r="D1575" s="6">
        <f t="shared" si="144"/>
        <v>-1.0049766159608862E-2</v>
      </c>
      <c r="E1575" s="4">
        <f t="shared" si="145"/>
        <v>2.6822053347126153E-4</v>
      </c>
      <c r="F1575" s="6">
        <f t="shared" si="146"/>
        <v>-1.0317986693080124E-2</v>
      </c>
      <c r="G1575" s="4">
        <f t="shared" si="149"/>
        <v>2.2714411510063984E-2</v>
      </c>
      <c r="H1575" s="4">
        <f t="shared" si="147"/>
        <v>-0.4542484707785</v>
      </c>
      <c r="I1575" s="4">
        <f t="shared" si="148"/>
        <v>-1.0221093698069756</v>
      </c>
    </row>
    <row r="1576" spans="1:9" x14ac:dyDescent="0.25">
      <c r="A1576" s="3">
        <v>42466</v>
      </c>
      <c r="B1576" s="4" t="s">
        <v>0</v>
      </c>
      <c r="C1576" s="4">
        <v>745.69000200000005</v>
      </c>
      <c r="D1576" s="6">
        <f t="shared" si="144"/>
        <v>1.0693974150620431E-2</v>
      </c>
      <c r="E1576" s="4">
        <f t="shared" si="145"/>
        <v>-3.162594383267687E-4</v>
      </c>
      <c r="F1576" s="6">
        <f t="shared" si="146"/>
        <v>1.10102335889472E-2</v>
      </c>
      <c r="G1576" s="4">
        <f t="shared" si="149"/>
        <v>1.854253849579373E-2</v>
      </c>
      <c r="H1576" s="4">
        <f t="shared" si="147"/>
        <v>0.59378243121592056</v>
      </c>
      <c r="I1576" s="4">
        <f t="shared" si="148"/>
        <v>-1.0952273210150174</v>
      </c>
    </row>
    <row r="1577" spans="1:9" x14ac:dyDescent="0.25">
      <c r="A1577" s="3">
        <v>42467</v>
      </c>
      <c r="B1577" s="4" t="s">
        <v>0</v>
      </c>
      <c r="C1577" s="4">
        <v>740.28002900000001</v>
      </c>
      <c r="D1577" s="6">
        <f t="shared" si="144"/>
        <v>-7.2549893192748426E-3</v>
      </c>
      <c r="E1577" s="4">
        <f t="shared" si="145"/>
        <v>-5.7283409212044653E-3</v>
      </c>
      <c r="F1577" s="6">
        <f t="shared" si="146"/>
        <v>-1.5266483980703772E-3</v>
      </c>
      <c r="G1577" s="4">
        <f t="shared" si="149"/>
        <v>2.2171276996494953E-2</v>
      </c>
      <c r="H1577" s="4">
        <f t="shared" si="147"/>
        <v>-6.8857035086960686E-2</v>
      </c>
      <c r="I1577" s="4">
        <f t="shared" si="148"/>
        <v>-0.92130917884515617</v>
      </c>
    </row>
    <row r="1578" spans="1:9" x14ac:dyDescent="0.25">
      <c r="A1578" s="3">
        <v>42468</v>
      </c>
      <c r="B1578" s="4" t="s">
        <v>0</v>
      </c>
      <c r="C1578" s="4">
        <v>739.15002400000003</v>
      </c>
      <c r="D1578" s="6">
        <f t="shared" si="144"/>
        <v>-1.5264561459620071E-3</v>
      </c>
      <c r="E1578" s="4">
        <f t="shared" si="145"/>
        <v>1.0101758487321161E-3</v>
      </c>
      <c r="F1578" s="6">
        <f t="shared" si="146"/>
        <v>-2.5366319946941232E-3</v>
      </c>
      <c r="G1578" s="4">
        <f t="shared" si="149"/>
        <v>1.0100585668158159E-2</v>
      </c>
      <c r="H1578" s="4">
        <f t="shared" si="147"/>
        <v>-0.25113711996827981</v>
      </c>
      <c r="I1578" s="4">
        <f t="shared" si="148"/>
        <v>-0.95047345971765385</v>
      </c>
    </row>
    <row r="1579" spans="1:9" x14ac:dyDescent="0.25">
      <c r="A1579" s="3">
        <v>42471</v>
      </c>
      <c r="B1579" s="4" t="s">
        <v>0</v>
      </c>
      <c r="C1579" s="4">
        <v>736.09997599999997</v>
      </c>
      <c r="D1579" s="6">
        <f t="shared" si="144"/>
        <v>-4.126426166496425E-3</v>
      </c>
      <c r="E1579" s="4">
        <f t="shared" si="145"/>
        <v>5.015910727896606E-4</v>
      </c>
      <c r="F1579" s="6">
        <f t="shared" si="146"/>
        <v>-4.6280172392860856E-3</v>
      </c>
      <c r="G1579" s="4">
        <f t="shared" si="149"/>
        <v>1.0685914391464066E-2</v>
      </c>
      <c r="H1579" s="4">
        <f t="shared" si="147"/>
        <v>-0.43309510723602251</v>
      </c>
      <c r="I1579" s="4">
        <f t="shared" si="148"/>
        <v>-1.0127242191605634</v>
      </c>
    </row>
    <row r="1580" spans="1:9" x14ac:dyDescent="0.25">
      <c r="A1580" s="3">
        <v>42472</v>
      </c>
      <c r="B1580" s="4" t="s">
        <v>0</v>
      </c>
      <c r="C1580" s="4">
        <v>743.09002699999996</v>
      </c>
      <c r="D1580" s="6">
        <f t="shared" si="144"/>
        <v>9.4960619860147838E-3</v>
      </c>
      <c r="E1580" s="4">
        <f t="shared" si="145"/>
        <v>-2.8054715176465471E-3</v>
      </c>
      <c r="F1580" s="6">
        <f t="shared" si="146"/>
        <v>1.2301533503661331E-2</v>
      </c>
      <c r="G1580" s="4">
        <f t="shared" si="149"/>
        <v>1.6220285414575788E-2</v>
      </c>
      <c r="H1580" s="4">
        <f t="shared" si="147"/>
        <v>0.75840425672207912</v>
      </c>
      <c r="I1580" s="4">
        <f t="shared" si="148"/>
        <v>-1.2065270415117575</v>
      </c>
    </row>
    <row r="1581" spans="1:9" x14ac:dyDescent="0.25">
      <c r="A1581" s="3">
        <v>42473</v>
      </c>
      <c r="B1581" s="4" t="s">
        <v>0</v>
      </c>
      <c r="C1581" s="4">
        <v>751.71997099999999</v>
      </c>
      <c r="D1581" s="6">
        <f t="shared" si="144"/>
        <v>1.161359147133329E-2</v>
      </c>
      <c r="E1581" s="4">
        <f t="shared" si="145"/>
        <v>-2.0447376136694452E-3</v>
      </c>
      <c r="F1581" s="6">
        <f t="shared" si="146"/>
        <v>1.3658329085002734E-2</v>
      </c>
      <c r="G1581" s="4">
        <f t="shared" si="149"/>
        <v>2.725563289124406E-2</v>
      </c>
      <c r="H1581" s="4">
        <f t="shared" si="147"/>
        <v>0.50111949847220416</v>
      </c>
      <c r="I1581" s="4">
        <f t="shared" si="148"/>
        <v>-1.0444989090791894</v>
      </c>
    </row>
    <row r="1582" spans="1:9" x14ac:dyDescent="0.25">
      <c r="A1582" s="3">
        <v>42474</v>
      </c>
      <c r="B1582" s="4" t="s">
        <v>0</v>
      </c>
      <c r="C1582" s="4">
        <v>753.20001200000002</v>
      </c>
      <c r="D1582" s="6">
        <f t="shared" si="144"/>
        <v>1.9688727945210175E-3</v>
      </c>
      <c r="E1582" s="4">
        <f t="shared" si="145"/>
        <v>2.366652274451628E-3</v>
      </c>
      <c r="F1582" s="6">
        <f t="shared" si="146"/>
        <v>-3.9777947993061046E-4</v>
      </c>
      <c r="G1582" s="4">
        <f t="shared" si="149"/>
        <v>2.0731956060018663E-2</v>
      </c>
      <c r="H1582" s="4">
        <f t="shared" si="147"/>
        <v>-1.9186780001802319E-2</v>
      </c>
      <c r="I1582" s="4">
        <f t="shared" si="148"/>
        <v>-0.91912259946809138</v>
      </c>
    </row>
    <row r="1583" spans="1:9" x14ac:dyDescent="0.25">
      <c r="A1583" s="3">
        <v>42475</v>
      </c>
      <c r="B1583" s="4" t="s">
        <v>0</v>
      </c>
      <c r="C1583" s="4">
        <v>759</v>
      </c>
      <c r="D1583" s="6">
        <f t="shared" si="144"/>
        <v>7.7004619059936824E-3</v>
      </c>
      <c r="E1583" s="4">
        <f t="shared" si="145"/>
        <v>7.3478640241287892E-3</v>
      </c>
      <c r="F1583" s="6">
        <f t="shared" si="146"/>
        <v>3.5259788186489324E-4</v>
      </c>
      <c r="G1583" s="4">
        <f t="shared" si="149"/>
        <v>9.3730982832514968E-3</v>
      </c>
      <c r="H1583" s="4">
        <f t="shared" si="147"/>
        <v>3.7618071550038011E-2</v>
      </c>
      <c r="I1583" s="4">
        <f t="shared" si="148"/>
        <v>-0.9196460928582445</v>
      </c>
    </row>
    <row r="1584" spans="1:9" x14ac:dyDescent="0.25">
      <c r="A1584" s="3">
        <v>42478</v>
      </c>
      <c r="B1584" s="4" t="s">
        <v>0</v>
      </c>
      <c r="C1584" s="4">
        <v>766.60998500000005</v>
      </c>
      <c r="D1584" s="6">
        <f t="shared" si="144"/>
        <v>1.0026330698287287E-2</v>
      </c>
      <c r="E1584" s="4">
        <f t="shared" si="145"/>
        <v>4.3095012397854921E-3</v>
      </c>
      <c r="F1584" s="6">
        <f t="shared" si="146"/>
        <v>5.7168294585017952E-3</v>
      </c>
      <c r="G1584" s="4">
        <f t="shared" si="149"/>
        <v>6.2658408388798006E-3</v>
      </c>
      <c r="H1584" s="4">
        <f t="shared" si="147"/>
        <v>0.91238025438319992</v>
      </c>
      <c r="I1584" s="4">
        <f t="shared" si="148"/>
        <v>-1.3351573974988491</v>
      </c>
    </row>
    <row r="1585" spans="1:9" x14ac:dyDescent="0.25">
      <c r="A1585" s="3">
        <v>42479</v>
      </c>
      <c r="B1585" s="4" t="s">
        <v>0</v>
      </c>
      <c r="C1585" s="4">
        <v>753.92999299999997</v>
      </c>
      <c r="D1585" s="6">
        <f t="shared" si="144"/>
        <v>-1.654034287069726E-2</v>
      </c>
      <c r="E1585" s="4">
        <f t="shared" si="145"/>
        <v>3.5468987263506512E-3</v>
      </c>
      <c r="F1585" s="6">
        <f t="shared" si="146"/>
        <v>-2.008724159704791E-2</v>
      </c>
      <c r="G1585" s="4">
        <f t="shared" si="149"/>
        <v>3.1847792114641851E-2</v>
      </c>
      <c r="H1585" s="4">
        <f t="shared" si="147"/>
        <v>-0.63072634752011292</v>
      </c>
      <c r="I1585" s="4">
        <f t="shared" si="148"/>
        <v>-1.1178463959327039</v>
      </c>
    </row>
    <row r="1586" spans="1:9" x14ac:dyDescent="0.25">
      <c r="A1586" s="3">
        <v>42480</v>
      </c>
      <c r="B1586" s="4" t="s">
        <v>0</v>
      </c>
      <c r="C1586" s="4">
        <v>752.669983</v>
      </c>
      <c r="D1586" s="6">
        <f t="shared" si="144"/>
        <v>-1.6712559676611324E-3</v>
      </c>
      <c r="E1586" s="4">
        <f t="shared" si="145"/>
        <v>6.1908105347961116E-3</v>
      </c>
      <c r="F1586" s="6">
        <f t="shared" si="146"/>
        <v>-7.8620665024572434E-3</v>
      </c>
      <c r="G1586" s="4">
        <f t="shared" si="149"/>
        <v>2.5352106800294857E-2</v>
      </c>
      <c r="H1586" s="4">
        <f t="shared" si="147"/>
        <v>-0.31011491724884199</v>
      </c>
      <c r="I1586" s="4">
        <f t="shared" si="148"/>
        <v>-0.96702416415480075</v>
      </c>
    </row>
    <row r="1587" spans="1:9" x14ac:dyDescent="0.25">
      <c r="A1587" s="3">
        <v>42481</v>
      </c>
      <c r="B1587" s="4" t="s">
        <v>0</v>
      </c>
      <c r="C1587" s="4">
        <v>759.14001499999995</v>
      </c>
      <c r="D1587" s="6">
        <f t="shared" si="144"/>
        <v>8.5961073858846129E-3</v>
      </c>
      <c r="E1587" s="4">
        <f t="shared" si="145"/>
        <v>-3.252476794624792E-3</v>
      </c>
      <c r="F1587" s="6">
        <f t="shared" si="146"/>
        <v>1.1848584180509405E-2</v>
      </c>
      <c r="G1587" s="4">
        <f t="shared" si="149"/>
        <v>1.5234891186004049E-2</v>
      </c>
      <c r="H1587" s="4">
        <f t="shared" si="147"/>
        <v>0.77772686629980214</v>
      </c>
      <c r="I1587" s="4">
        <f t="shared" si="148"/>
        <v>-1.2213680724869278</v>
      </c>
    </row>
    <row r="1588" spans="1:9" x14ac:dyDescent="0.25">
      <c r="A1588" s="3">
        <v>42482</v>
      </c>
      <c r="B1588" s="4" t="s">
        <v>0</v>
      </c>
      <c r="C1588" s="4">
        <v>718.77002000000005</v>
      </c>
      <c r="D1588" s="6">
        <f t="shared" si="144"/>
        <v>-5.3178589196091718E-2</v>
      </c>
      <c r="E1588" s="4">
        <f t="shared" si="145"/>
        <v>-5.7042310931519867E-3</v>
      </c>
      <c r="F1588" s="6">
        <f t="shared" si="146"/>
        <v>-4.7474358102939734E-2</v>
      </c>
      <c r="G1588" s="4">
        <f t="shared" si="149"/>
        <v>2.7810626858677908E-2</v>
      </c>
      <c r="H1588" s="4">
        <f t="shared" si="147"/>
        <v>-1.7070581811832135</v>
      </c>
      <c r="I1588" s="4">
        <f t="shared" si="148"/>
        <v>-2.3759623501769429</v>
      </c>
    </row>
    <row r="1589" spans="1:9" x14ac:dyDescent="0.25">
      <c r="A1589" s="3">
        <v>42485</v>
      </c>
      <c r="B1589" s="4" t="s">
        <v>0</v>
      </c>
      <c r="C1589" s="4">
        <v>723.15002400000003</v>
      </c>
      <c r="D1589" s="6">
        <f t="shared" si="144"/>
        <v>6.0937488739443877E-3</v>
      </c>
      <c r="E1589" s="4">
        <f t="shared" si="145"/>
        <v>2.7732237862425914E-3</v>
      </c>
      <c r="F1589" s="6">
        <f t="shared" si="146"/>
        <v>3.3205250877017963E-3</v>
      </c>
      <c r="G1589" s="4">
        <f t="shared" si="149"/>
        <v>5.9844082666165019E-2</v>
      </c>
      <c r="H1589" s="4">
        <f t="shared" si="147"/>
        <v>5.5486272656647691E-2</v>
      </c>
      <c r="I1589" s="4">
        <f t="shared" si="148"/>
        <v>-0.9204778964313366</v>
      </c>
    </row>
    <row r="1590" spans="1:9" x14ac:dyDescent="0.25">
      <c r="A1590" s="3">
        <v>42486</v>
      </c>
      <c r="B1590" s="4" t="s">
        <v>0</v>
      </c>
      <c r="C1590" s="4">
        <v>708.14001499999995</v>
      </c>
      <c r="D1590" s="6">
        <f t="shared" si="144"/>
        <v>-2.0756424672399763E-2</v>
      </c>
      <c r="E1590" s="4">
        <f t="shared" si="145"/>
        <v>-1.7696370672133848E-2</v>
      </c>
      <c r="F1590" s="6">
        <f t="shared" si="146"/>
        <v>-3.0600540002659153E-3</v>
      </c>
      <c r="G1590" s="4">
        <f t="shared" si="149"/>
        <v>2.3458615874058741E-2</v>
      </c>
      <c r="H1590" s="4">
        <f t="shared" si="147"/>
        <v>-0.13044478057419479</v>
      </c>
      <c r="I1590" s="4">
        <f t="shared" si="148"/>
        <v>-0.92744645359419764</v>
      </c>
    </row>
    <row r="1591" spans="1:9" x14ac:dyDescent="0.25">
      <c r="A1591" s="3">
        <v>42487</v>
      </c>
      <c r="B1591" s="4" t="s">
        <v>0</v>
      </c>
      <c r="C1591" s="4">
        <v>705.84002699999996</v>
      </c>
      <c r="D1591" s="6">
        <f t="shared" si="144"/>
        <v>-3.2479283069464519E-3</v>
      </c>
      <c r="E1591" s="4">
        <f t="shared" si="145"/>
        <v>-1.3956962160812393E-2</v>
      </c>
      <c r="F1591" s="6">
        <f t="shared" si="146"/>
        <v>1.0709033853865941E-2</v>
      </c>
      <c r="G1591" s="4">
        <f t="shared" si="149"/>
        <v>1.1184268786367489E-2</v>
      </c>
      <c r="H1591" s="4">
        <f t="shared" si="147"/>
        <v>0.95750862737841103</v>
      </c>
      <c r="I1591" s="4">
        <f t="shared" si="148"/>
        <v>-1.3773499189567171</v>
      </c>
    </row>
    <row r="1592" spans="1:9" x14ac:dyDescent="0.25">
      <c r="A1592" s="3">
        <v>42488</v>
      </c>
      <c r="B1592" s="4" t="s">
        <v>0</v>
      </c>
      <c r="C1592" s="4">
        <v>691.02002000000005</v>
      </c>
      <c r="D1592" s="6">
        <f t="shared" si="144"/>
        <v>-2.0996268889692648E-2</v>
      </c>
      <c r="E1592" s="4">
        <f t="shared" si="145"/>
        <v>-6.0685906622234293E-3</v>
      </c>
      <c r="F1592" s="6">
        <f t="shared" si="146"/>
        <v>-1.4927678227469219E-2</v>
      </c>
      <c r="G1592" s="4">
        <f t="shared" si="149"/>
        <v>3.3563598461194874E-2</v>
      </c>
      <c r="H1592" s="4">
        <f t="shared" si="147"/>
        <v>-0.44475797923539423</v>
      </c>
      <c r="I1592" s="4">
        <f t="shared" si="148"/>
        <v>-1.0178433632514483</v>
      </c>
    </row>
    <row r="1593" spans="1:9" x14ac:dyDescent="0.25">
      <c r="A1593" s="3">
        <v>42489</v>
      </c>
      <c r="B1593" s="4" t="s">
        <v>0</v>
      </c>
      <c r="C1593" s="4">
        <v>693.01000999999997</v>
      </c>
      <c r="D1593" s="6">
        <f t="shared" si="144"/>
        <v>2.879786319360068E-3</v>
      </c>
      <c r="E1593" s="4">
        <f t="shared" si="145"/>
        <v>-7.5987363907439633E-3</v>
      </c>
      <c r="F1593" s="6">
        <f t="shared" si="146"/>
        <v>1.0478522710104032E-2</v>
      </c>
      <c r="G1593" s="4">
        <f t="shared" si="149"/>
        <v>2.0560088100500133E-2</v>
      </c>
      <c r="H1593" s="4">
        <f t="shared" si="147"/>
        <v>0.5096535899497987</v>
      </c>
      <c r="I1593" s="4">
        <f t="shared" si="148"/>
        <v>-1.0488119240790315</v>
      </c>
    </row>
    <row r="1594" spans="1:9" x14ac:dyDescent="0.25">
      <c r="A1594" s="3">
        <v>42492</v>
      </c>
      <c r="B1594" s="4" t="s">
        <v>0</v>
      </c>
      <c r="C1594" s="4">
        <v>698.21002199999998</v>
      </c>
      <c r="D1594" s="6">
        <f t="shared" si="144"/>
        <v>7.5035164354985513E-3</v>
      </c>
      <c r="E1594" s="4">
        <f t="shared" si="145"/>
        <v>-9.0210648682972454E-3</v>
      </c>
      <c r="F1594" s="6">
        <f t="shared" si="146"/>
        <v>1.6524581303795798E-2</v>
      </c>
      <c r="G1594" s="4">
        <f t="shared" si="149"/>
        <v>1.9833165707926325E-2</v>
      </c>
      <c r="H1594" s="4">
        <f t="shared" si="147"/>
        <v>0.8331792083596492</v>
      </c>
      <c r="I1594" s="4">
        <f t="shared" si="148"/>
        <v>-1.2660323298260785</v>
      </c>
    </row>
    <row r="1595" spans="1:9" x14ac:dyDescent="0.25">
      <c r="A1595" s="3">
        <v>42493</v>
      </c>
      <c r="B1595" s="4" t="s">
        <v>0</v>
      </c>
      <c r="C1595" s="4">
        <v>692.35998500000005</v>
      </c>
      <c r="D1595" s="6">
        <f t="shared" si="144"/>
        <v>-8.3786207812409901E-3</v>
      </c>
      <c r="E1595" s="4">
        <f t="shared" si="145"/>
        <v>-5.3291212624961082E-3</v>
      </c>
      <c r="F1595" s="6">
        <f t="shared" si="146"/>
        <v>-3.0494995187448819E-3</v>
      </c>
      <c r="G1595" s="4">
        <f t="shared" si="149"/>
        <v>3.0041599750745926E-2</v>
      </c>
      <c r="H1595" s="4">
        <f t="shared" si="147"/>
        <v>-0.10150922534240753</v>
      </c>
      <c r="I1595" s="4">
        <f t="shared" si="148"/>
        <v>-0.92409059461948051</v>
      </c>
    </row>
    <row r="1596" spans="1:9" x14ac:dyDescent="0.25">
      <c r="A1596" s="3">
        <v>42494</v>
      </c>
      <c r="B1596" s="4" t="s">
        <v>0</v>
      </c>
      <c r="C1596" s="4">
        <v>695.70001200000002</v>
      </c>
      <c r="D1596" s="6">
        <f t="shared" si="144"/>
        <v>4.8241190599713291E-3</v>
      </c>
      <c r="E1596" s="4">
        <f t="shared" si="145"/>
        <v>3.7502117464870395E-3</v>
      </c>
      <c r="F1596" s="6">
        <f t="shared" si="146"/>
        <v>1.0739073134842896E-3</v>
      </c>
      <c r="G1596" s="4">
        <f t="shared" si="149"/>
        <v>1.2979928676229598E-2</v>
      </c>
      <c r="H1596" s="4">
        <f t="shared" si="147"/>
        <v>8.2735994955885808E-2</v>
      </c>
      <c r="I1596" s="4">
        <f t="shared" si="148"/>
        <v>-0.92236115563534293</v>
      </c>
    </row>
    <row r="1597" spans="1:9" x14ac:dyDescent="0.25">
      <c r="A1597" s="3">
        <v>42495</v>
      </c>
      <c r="B1597" s="4" t="s">
        <v>0</v>
      </c>
      <c r="C1597" s="4">
        <v>701.42999299999997</v>
      </c>
      <c r="D1597" s="6">
        <f t="shared" si="144"/>
        <v>8.2362813010846293E-3</v>
      </c>
      <c r="E1597" s="4">
        <f t="shared" si="145"/>
        <v>-9.0490760347756299E-4</v>
      </c>
      <c r="F1597" s="6">
        <f t="shared" si="146"/>
        <v>9.1411889045621923E-3</v>
      </c>
      <c r="G1597" s="4">
        <f t="shared" si="149"/>
        <v>7.5780505426938033E-3</v>
      </c>
      <c r="H1597" s="4">
        <f t="shared" si="147"/>
        <v>1.2062718311341234</v>
      </c>
      <c r="I1597" s="4">
        <f t="shared" si="148"/>
        <v>-1.6464843984985083</v>
      </c>
    </row>
    <row r="1598" spans="1:9" x14ac:dyDescent="0.25">
      <c r="A1598" s="3">
        <v>42496</v>
      </c>
      <c r="B1598" s="4" t="s">
        <v>0</v>
      </c>
      <c r="C1598" s="4">
        <v>711.11999500000002</v>
      </c>
      <c r="D1598" s="6">
        <f t="shared" si="144"/>
        <v>1.3814638804588514E-2</v>
      </c>
      <c r="E1598" s="4">
        <f t="shared" si="145"/>
        <v>-7.2164596401081598E-4</v>
      </c>
      <c r="F1598" s="6">
        <f t="shared" si="146"/>
        <v>1.453628476859933E-2</v>
      </c>
      <c r="G1598" s="4">
        <f t="shared" si="149"/>
        <v>4.1866233704915969E-2</v>
      </c>
      <c r="H1598" s="4">
        <f t="shared" si="147"/>
        <v>0.34720784465721993</v>
      </c>
      <c r="I1598" s="4">
        <f t="shared" si="148"/>
        <v>-0.9792151769004287</v>
      </c>
    </row>
    <row r="1599" spans="1:9" x14ac:dyDescent="0.25">
      <c r="A1599" s="3">
        <v>42499</v>
      </c>
      <c r="B1599" s="4" t="s">
        <v>0</v>
      </c>
      <c r="C1599" s="4">
        <v>712.90002400000003</v>
      </c>
      <c r="D1599" s="6">
        <f t="shared" si="144"/>
        <v>2.5031345096688121E-3</v>
      </c>
      <c r="E1599" s="4">
        <f t="shared" si="145"/>
        <v>4.626232596915747E-3</v>
      </c>
      <c r="F1599" s="6">
        <f t="shared" si="146"/>
        <v>-2.1230980872469348E-3</v>
      </c>
      <c r="G1599" s="4">
        <f t="shared" si="149"/>
        <v>2.0559122331622243E-2</v>
      </c>
      <c r="H1599" s="4">
        <f t="shared" si="147"/>
        <v>-0.1032679339614304</v>
      </c>
      <c r="I1599" s="4">
        <f t="shared" si="148"/>
        <v>-0.92427066629700383</v>
      </c>
    </row>
    <row r="1600" spans="1:9" x14ac:dyDescent="0.25">
      <c r="A1600" s="3">
        <v>42500</v>
      </c>
      <c r="B1600" s="4" t="s">
        <v>0</v>
      </c>
      <c r="C1600" s="4">
        <v>723.17999299999997</v>
      </c>
      <c r="D1600" s="6">
        <f t="shared" si="144"/>
        <v>1.4419930781205776E-2</v>
      </c>
      <c r="E1600" s="4">
        <f t="shared" si="145"/>
        <v>7.8034787395008512E-3</v>
      </c>
      <c r="F1600" s="6">
        <f t="shared" si="146"/>
        <v>6.6164520417049252E-3</v>
      </c>
      <c r="G1600" s="4">
        <f t="shared" si="149"/>
        <v>9.9490193042467579E-3</v>
      </c>
      <c r="H1600" s="4">
        <f t="shared" si="147"/>
        <v>0.66503560193924638</v>
      </c>
      <c r="I1600" s="4">
        <f t="shared" si="148"/>
        <v>-1.1400747091280206</v>
      </c>
    </row>
    <row r="1601" spans="1:9" x14ac:dyDescent="0.25">
      <c r="A1601" s="3">
        <v>42501</v>
      </c>
      <c r="B1601" s="4" t="s">
        <v>0</v>
      </c>
      <c r="C1601" s="4">
        <v>715.28997800000002</v>
      </c>
      <c r="D1601" s="6">
        <f t="shared" si="144"/>
        <v>-1.0910167698734924E-2</v>
      </c>
      <c r="E1601" s="4">
        <f t="shared" si="145"/>
        <v>5.1879483951534789E-3</v>
      </c>
      <c r="F1601" s="6">
        <f t="shared" si="146"/>
        <v>-1.6098116093888403E-2</v>
      </c>
      <c r="G1601" s="4">
        <f t="shared" si="149"/>
        <v>2.3704164330289202E-2</v>
      </c>
      <c r="H1601" s="4">
        <f t="shared" si="147"/>
        <v>-0.67912607546844483</v>
      </c>
      <c r="I1601" s="4">
        <f t="shared" si="148"/>
        <v>-1.1495446463952586</v>
      </c>
    </row>
    <row r="1602" spans="1:9" x14ac:dyDescent="0.25">
      <c r="A1602" s="3">
        <v>42502</v>
      </c>
      <c r="B1602" s="4" t="s">
        <v>0</v>
      </c>
      <c r="C1602" s="4">
        <v>713.30999799999995</v>
      </c>
      <c r="D1602" s="6">
        <f t="shared" si="144"/>
        <v>-2.7680801645456141E-3</v>
      </c>
      <c r="E1602" s="4">
        <f t="shared" si="145"/>
        <v>6.2788121272953487E-3</v>
      </c>
      <c r="F1602" s="6">
        <f t="shared" si="146"/>
        <v>-9.0468922918409619E-3</v>
      </c>
      <c r="G1602" s="4">
        <f t="shared" si="149"/>
        <v>2.5528938448318758E-2</v>
      </c>
      <c r="H1602" s="4">
        <f t="shared" si="147"/>
        <v>-0.35437792723562139</v>
      </c>
      <c r="I1602" s="4">
        <f t="shared" si="148"/>
        <v>-0.98173039086058034</v>
      </c>
    </row>
    <row r="1603" spans="1:9" x14ac:dyDescent="0.25">
      <c r="A1603" s="3">
        <v>42503</v>
      </c>
      <c r="B1603" s="4" t="s">
        <v>0</v>
      </c>
      <c r="C1603" s="4">
        <v>710.830017</v>
      </c>
      <c r="D1603" s="6">
        <f t="shared" si="144"/>
        <v>-3.4767226128238743E-3</v>
      </c>
      <c r="E1603" s="4">
        <f t="shared" si="145"/>
        <v>2.453499708402699E-4</v>
      </c>
      <c r="F1603" s="6">
        <f t="shared" si="146"/>
        <v>-3.7220725836641442E-3</v>
      </c>
      <c r="G1603" s="4">
        <f t="shared" si="149"/>
        <v>1.6375978602121199E-2</v>
      </c>
      <c r="H1603" s="4">
        <f t="shared" si="147"/>
        <v>-0.22728855930368766</v>
      </c>
      <c r="I1603" s="4">
        <f t="shared" si="148"/>
        <v>-0.94476857779984558</v>
      </c>
    </row>
    <row r="1604" spans="1:9" x14ac:dyDescent="0.25">
      <c r="A1604" s="3">
        <v>42506</v>
      </c>
      <c r="B1604" s="4" t="s">
        <v>0</v>
      </c>
      <c r="C1604" s="4">
        <v>716.48999000000003</v>
      </c>
      <c r="D1604" s="6">
        <f t="shared" ref="D1604:D1667" si="150">(C1604-C1603)/C1603</f>
        <v>7.9624845105549843E-3</v>
      </c>
      <c r="E1604" s="4">
        <f t="shared" si="145"/>
        <v>-4.399512045797532E-3</v>
      </c>
      <c r="F1604" s="6">
        <f t="shared" si="146"/>
        <v>1.2361996556352516E-2</v>
      </c>
      <c r="G1604" s="4">
        <f t="shared" si="149"/>
        <v>1.117661962747489E-2</v>
      </c>
      <c r="H1604" s="4">
        <f t="shared" si="147"/>
        <v>1.1060586267035228</v>
      </c>
      <c r="I1604" s="4">
        <f t="shared" si="148"/>
        <v>-1.530621376057314</v>
      </c>
    </row>
    <row r="1605" spans="1:9" x14ac:dyDescent="0.25">
      <c r="A1605" s="3">
        <v>42507</v>
      </c>
      <c r="B1605" s="4" t="s">
        <v>0</v>
      </c>
      <c r="C1605" s="4">
        <v>706.22997999999995</v>
      </c>
      <c r="D1605" s="6">
        <f t="shared" si="150"/>
        <v>-1.4319823226002193E-2</v>
      </c>
      <c r="E1605" s="4">
        <f t="shared" si="145"/>
        <v>-2.1766502218286835E-3</v>
      </c>
      <c r="F1605" s="6">
        <f t="shared" si="146"/>
        <v>-1.2143173004173509E-2</v>
      </c>
      <c r="G1605" s="4">
        <f t="shared" si="149"/>
        <v>3.8584486515148009E-2</v>
      </c>
      <c r="H1605" s="4">
        <f t="shared" si="147"/>
        <v>-0.31471645992764946</v>
      </c>
      <c r="I1605" s="4">
        <f t="shared" si="148"/>
        <v>-0.96846175827936865</v>
      </c>
    </row>
    <row r="1606" spans="1:9" x14ac:dyDescent="0.25">
      <c r="A1606" s="3">
        <v>42508</v>
      </c>
      <c r="B1606" s="4" t="s">
        <v>0</v>
      </c>
      <c r="C1606" s="4">
        <v>706.63000499999998</v>
      </c>
      <c r="D1606" s="6">
        <f t="shared" si="150"/>
        <v>5.6642313598755448E-4</v>
      </c>
      <c r="E1606" s="4">
        <f t="shared" si="145"/>
        <v>1.978851956209139E-3</v>
      </c>
      <c r="F1606" s="6">
        <f t="shared" si="146"/>
        <v>-1.4124288202215845E-3</v>
      </c>
      <c r="G1606" s="4">
        <f t="shared" si="149"/>
        <v>1.8941671406168033E-2</v>
      </c>
      <c r="H1606" s="4">
        <f t="shared" si="147"/>
        <v>-7.4567274974564862E-2</v>
      </c>
      <c r="I1606" s="4">
        <f t="shared" si="148"/>
        <v>-0.9217186724532388</v>
      </c>
    </row>
    <row r="1607" spans="1:9" x14ac:dyDescent="0.25">
      <c r="A1607" s="3">
        <v>42509</v>
      </c>
      <c r="B1607" s="4" t="s">
        <v>0</v>
      </c>
      <c r="C1607" s="4">
        <v>700.32000700000003</v>
      </c>
      <c r="D1607" s="6">
        <f t="shared" si="150"/>
        <v>-8.9297057234357761E-3</v>
      </c>
      <c r="E1607" s="4">
        <f t="shared" ref="E1607:E1670" si="151">+$M$16*D1606+$M$17*D1605+$M$18*D1604</f>
        <v>-3.0356309896167823E-3</v>
      </c>
      <c r="F1607" s="6">
        <f t="shared" ref="F1607:F1670" si="152">D1607-E1607</f>
        <v>-5.8940747338189943E-3</v>
      </c>
      <c r="G1607" s="4">
        <f t="shared" si="149"/>
        <v>9.1455299669749596E-3</v>
      </c>
      <c r="H1607" s="4">
        <f t="shared" ref="H1607:H1670" si="153">F1607/G1607</f>
        <v>-0.64447601780354347</v>
      </c>
      <c r="I1607" s="4">
        <f t="shared" ref="I1607:I1670" si="154">LN(_xlfn.NORM.DIST(H1607,0,1,FALSE))</f>
        <v>-1.1266132019666293</v>
      </c>
    </row>
    <row r="1608" spans="1:9" x14ac:dyDescent="0.25">
      <c r="A1608" s="3">
        <v>42510</v>
      </c>
      <c r="B1608" s="4" t="s">
        <v>0</v>
      </c>
      <c r="C1608" s="4">
        <v>709.73999000000003</v>
      </c>
      <c r="D1608" s="6">
        <f t="shared" si="150"/>
        <v>1.3450969422325817E-2</v>
      </c>
      <c r="E1608" s="4">
        <f t="shared" si="151"/>
        <v>-4.1691243424916008E-3</v>
      </c>
      <c r="F1608" s="6">
        <f t="shared" si="152"/>
        <v>1.7620093764817418E-2</v>
      </c>
      <c r="G1608" s="4">
        <f t="shared" ref="G1608:G1671" si="155">SQRT($M$12 + $M$13 *H1607^2+$M$14*G1607^2)</f>
        <v>2.297463947795568E-2</v>
      </c>
      <c r="H1608" s="4">
        <f t="shared" si="153"/>
        <v>0.76693668171481055</v>
      </c>
      <c r="I1608" s="4">
        <f t="shared" si="154"/>
        <v>-1.2130344700845348</v>
      </c>
    </row>
    <row r="1609" spans="1:9" x14ac:dyDescent="0.25">
      <c r="A1609" s="3">
        <v>42513</v>
      </c>
      <c r="B1609" s="4" t="s">
        <v>0</v>
      </c>
      <c r="C1609" s="4">
        <v>704.23999000000003</v>
      </c>
      <c r="D1609" s="6">
        <f t="shared" si="150"/>
        <v>-7.7493167603533229E-3</v>
      </c>
      <c r="E1609" s="4">
        <f t="shared" si="151"/>
        <v>-3.2399035542616905E-3</v>
      </c>
      <c r="F1609" s="6">
        <f t="shared" si="152"/>
        <v>-4.5094132060916319E-3</v>
      </c>
      <c r="G1609" s="4">
        <f t="shared" si="155"/>
        <v>2.8228157071985584E-2</v>
      </c>
      <c r="H1609" s="4">
        <f t="shared" si="153"/>
        <v>-0.15974876413617878</v>
      </c>
      <c r="I1609" s="4">
        <f t="shared" si="154"/>
        <v>-0.93169836702619091</v>
      </c>
    </row>
    <row r="1610" spans="1:9" x14ac:dyDescent="0.25">
      <c r="A1610" s="3">
        <v>42514</v>
      </c>
      <c r="B1610" s="4" t="s">
        <v>0</v>
      </c>
      <c r="C1610" s="4">
        <v>720.09002699999996</v>
      </c>
      <c r="D1610" s="6">
        <f t="shared" si="150"/>
        <v>2.250658472263117E-2</v>
      </c>
      <c r="E1610" s="4">
        <f t="shared" si="151"/>
        <v>2.4071289427388975E-3</v>
      </c>
      <c r="F1610" s="6">
        <f t="shared" si="152"/>
        <v>2.0099455779892271E-2</v>
      </c>
      <c r="G1610" s="4">
        <f t="shared" si="155"/>
        <v>1.307906031392171E-2</v>
      </c>
      <c r="H1610" s="4">
        <f t="shared" si="153"/>
        <v>1.5367660441551645</v>
      </c>
      <c r="I1610" s="4">
        <f t="shared" si="154"/>
        <v>-2.099763470438829</v>
      </c>
    </row>
    <row r="1611" spans="1:9" x14ac:dyDescent="0.25">
      <c r="A1611" s="3">
        <v>42515</v>
      </c>
      <c r="B1611" s="4" t="s">
        <v>0</v>
      </c>
      <c r="C1611" s="4">
        <v>725.27002000000005</v>
      </c>
      <c r="D1611" s="6">
        <f t="shared" si="150"/>
        <v>7.1935352605571939E-3</v>
      </c>
      <c r="E1611" s="4">
        <f t="shared" si="151"/>
        <v>1.1574365305144201E-3</v>
      </c>
      <c r="F1611" s="6">
        <f t="shared" si="152"/>
        <v>6.0360987300427738E-3</v>
      </c>
      <c r="G1611" s="4">
        <f t="shared" si="155"/>
        <v>5.3298322209272345E-2</v>
      </c>
      <c r="H1611" s="4">
        <f t="shared" si="153"/>
        <v>0.11325119590711374</v>
      </c>
      <c r="I1611" s="4">
        <f t="shared" si="154"/>
        <v>-0.92535144989186846</v>
      </c>
    </row>
    <row r="1612" spans="1:9" x14ac:dyDescent="0.25">
      <c r="A1612" s="3">
        <v>42516</v>
      </c>
      <c r="B1612" s="4" t="s">
        <v>0</v>
      </c>
      <c r="C1612" s="4">
        <v>724.11999500000002</v>
      </c>
      <c r="D1612" s="6">
        <f t="shared" si="150"/>
        <v>-1.5856508173328712E-3</v>
      </c>
      <c r="E1612" s="4">
        <f t="shared" si="151"/>
        <v>6.2306980613875389E-3</v>
      </c>
      <c r="F1612" s="6">
        <f t="shared" si="152"/>
        <v>-7.8163488787204097E-3</v>
      </c>
      <c r="G1612" s="4">
        <f t="shared" si="155"/>
        <v>2.1304984384879901E-2</v>
      </c>
      <c r="H1612" s="4">
        <f t="shared" si="153"/>
        <v>-0.36687888324704215</v>
      </c>
      <c r="I1612" s="4">
        <f t="shared" si="154"/>
        <v>-0.9862385906909712</v>
      </c>
    </row>
    <row r="1613" spans="1:9" x14ac:dyDescent="0.25">
      <c r="A1613" s="3">
        <v>42517</v>
      </c>
      <c r="B1613" s="4" t="s">
        <v>0</v>
      </c>
      <c r="C1613" s="4">
        <v>732.65997300000004</v>
      </c>
      <c r="D1613" s="6">
        <f t="shared" si="150"/>
        <v>1.1793595065690762E-2</v>
      </c>
      <c r="E1613" s="4">
        <f t="shared" si="151"/>
        <v>9.6425986738128446E-3</v>
      </c>
      <c r="F1613" s="6">
        <f t="shared" si="152"/>
        <v>2.1509963918779178E-3</v>
      </c>
      <c r="G1613" s="4">
        <f t="shared" si="155"/>
        <v>1.5811405965743205E-2</v>
      </c>
      <c r="H1613" s="4">
        <f t="shared" si="153"/>
        <v>0.13604080475438046</v>
      </c>
      <c r="I1613" s="4">
        <f t="shared" si="154"/>
        <v>-0.92819208348378235</v>
      </c>
    </row>
    <row r="1614" spans="1:9" x14ac:dyDescent="0.25">
      <c r="A1614" s="3">
        <v>42521</v>
      </c>
      <c r="B1614" s="4" t="s">
        <v>0</v>
      </c>
      <c r="C1614" s="4">
        <v>735.71997099999999</v>
      </c>
      <c r="D1614" s="6">
        <f t="shared" si="150"/>
        <v>4.176559540260227E-3</v>
      </c>
      <c r="E1614" s="4">
        <f t="shared" si="151"/>
        <v>1.5971106068494514E-3</v>
      </c>
      <c r="F1614" s="6">
        <f t="shared" si="152"/>
        <v>2.5794489334107756E-3</v>
      </c>
      <c r="G1614" s="4">
        <f t="shared" si="155"/>
        <v>9.1152904320018612E-3</v>
      </c>
      <c r="H1614" s="4">
        <f t="shared" si="153"/>
        <v>0.28298044397519961</v>
      </c>
      <c r="I1614" s="4">
        <f t="shared" si="154"/>
        <v>-0.95897749904087326</v>
      </c>
    </row>
    <row r="1615" spans="1:9" x14ac:dyDescent="0.25">
      <c r="A1615" s="3">
        <v>42522</v>
      </c>
      <c r="B1615" s="4" t="s">
        <v>0</v>
      </c>
      <c r="C1615" s="4">
        <v>734.15002400000003</v>
      </c>
      <c r="D1615" s="6">
        <f t="shared" si="150"/>
        <v>-2.1338920538830344E-3</v>
      </c>
      <c r="E1615" s="4">
        <f t="shared" si="151"/>
        <v>4.022920751187418E-3</v>
      </c>
      <c r="F1615" s="6">
        <f t="shared" si="152"/>
        <v>-6.1568128050704524E-3</v>
      </c>
      <c r="G1615" s="4">
        <f t="shared" si="155"/>
        <v>1.146864767635382E-2</v>
      </c>
      <c r="H1615" s="4">
        <f t="shared" si="153"/>
        <v>-0.53683860371477221</v>
      </c>
      <c r="I1615" s="4">
        <f t="shared" si="154"/>
        <v>-1.0630363764238857</v>
      </c>
    </row>
    <row r="1616" spans="1:9" x14ac:dyDescent="0.25">
      <c r="A1616" s="3">
        <v>42523</v>
      </c>
      <c r="B1616" s="4" t="s">
        <v>0</v>
      </c>
      <c r="C1616" s="4">
        <v>730.40002400000003</v>
      </c>
      <c r="D1616" s="6">
        <f t="shared" si="150"/>
        <v>-5.1079478000534669E-3</v>
      </c>
      <c r="E1616" s="4">
        <f t="shared" si="151"/>
        <v>5.2083838113126659E-3</v>
      </c>
      <c r="F1616" s="6">
        <f t="shared" si="152"/>
        <v>-1.0316331611366133E-2</v>
      </c>
      <c r="G1616" s="4">
        <f t="shared" si="155"/>
        <v>1.9609754570364783E-2</v>
      </c>
      <c r="H1616" s="4">
        <f t="shared" si="153"/>
        <v>-0.52608162811770609</v>
      </c>
      <c r="I1616" s="4">
        <f t="shared" si="154"/>
        <v>-1.0573194729261608</v>
      </c>
    </row>
    <row r="1617" spans="1:9" x14ac:dyDescent="0.25">
      <c r="A1617" s="3">
        <v>42524</v>
      </c>
      <c r="B1617" s="4" t="s">
        <v>0</v>
      </c>
      <c r="C1617" s="4">
        <v>722.34002699999996</v>
      </c>
      <c r="D1617" s="6">
        <f t="shared" si="150"/>
        <v>-1.1035044818125672E-2</v>
      </c>
      <c r="E1617" s="4">
        <f t="shared" si="151"/>
        <v>4.632358546142214E-4</v>
      </c>
      <c r="F1617" s="6">
        <f t="shared" si="152"/>
        <v>-1.1498280672739893E-2</v>
      </c>
      <c r="G1617" s="4">
        <f t="shared" si="155"/>
        <v>2.0196532787091291E-2</v>
      </c>
      <c r="H1617" s="4">
        <f t="shared" si="153"/>
        <v>-0.56931953588038997</v>
      </c>
      <c r="I1617" s="4">
        <f t="shared" si="154"/>
        <v>-1.0810009001722041</v>
      </c>
    </row>
    <row r="1618" spans="1:9" x14ac:dyDescent="0.25">
      <c r="A1618" s="3">
        <v>42527</v>
      </c>
      <c r="B1618" s="4" t="s">
        <v>0</v>
      </c>
      <c r="C1618" s="4">
        <v>716.54998799999998</v>
      </c>
      <c r="D1618" s="6">
        <f t="shared" si="150"/>
        <v>-8.0156696065244899E-3</v>
      </c>
      <c r="E1618" s="4">
        <f t="shared" si="151"/>
        <v>-2.6063921509562426E-3</v>
      </c>
      <c r="F1618" s="6">
        <f t="shared" si="152"/>
        <v>-5.4092774555682469E-3</v>
      </c>
      <c r="G1618" s="4">
        <f t="shared" si="155"/>
        <v>2.1616592909559983E-2</v>
      </c>
      <c r="H1618" s="4">
        <f t="shared" si="153"/>
        <v>-0.25023728198979878</v>
      </c>
      <c r="I1618" s="4">
        <f t="shared" si="154"/>
        <v>-0.95024788185349374</v>
      </c>
    </row>
    <row r="1619" spans="1:9" x14ac:dyDescent="0.25">
      <c r="A1619" s="3">
        <v>42528</v>
      </c>
      <c r="B1619" s="4" t="s">
        <v>0</v>
      </c>
      <c r="C1619" s="4">
        <v>716.65002400000003</v>
      </c>
      <c r="D1619" s="6">
        <f t="shared" si="150"/>
        <v>1.396078454753188E-4</v>
      </c>
      <c r="E1619" s="4">
        <f t="shared" si="151"/>
        <v>-5.7829489227023013E-3</v>
      </c>
      <c r="F1619" s="6">
        <f t="shared" si="152"/>
        <v>5.9225567681776203E-3</v>
      </c>
      <c r="G1619" s="4">
        <f t="shared" si="155"/>
        <v>1.2918279381800521E-2</v>
      </c>
      <c r="H1619" s="4">
        <f t="shared" si="153"/>
        <v>0.45846328238739076</v>
      </c>
      <c r="I1619" s="4">
        <f t="shared" si="154"/>
        <v>-1.0240328238533827</v>
      </c>
    </row>
    <row r="1620" spans="1:9" x14ac:dyDescent="0.25">
      <c r="A1620" s="3">
        <v>42529</v>
      </c>
      <c r="B1620" s="4" t="s">
        <v>0</v>
      </c>
      <c r="C1620" s="4">
        <v>728.28002900000001</v>
      </c>
      <c r="D1620" s="6">
        <f t="shared" si="150"/>
        <v>1.6228290812141218E-2</v>
      </c>
      <c r="E1620" s="4">
        <f t="shared" si="151"/>
        <v>-6.4437279968903288E-3</v>
      </c>
      <c r="F1620" s="6">
        <f t="shared" si="152"/>
        <v>2.2672018809031545E-2</v>
      </c>
      <c r="G1620" s="4">
        <f t="shared" si="155"/>
        <v>1.72483425187979E-2</v>
      </c>
      <c r="H1620" s="4">
        <f t="shared" si="153"/>
        <v>1.3144462306637705</v>
      </c>
      <c r="I1620" s="4">
        <f t="shared" si="154"/>
        <v>-1.7828229798577697</v>
      </c>
    </row>
    <row r="1621" spans="1:9" x14ac:dyDescent="0.25">
      <c r="A1621" s="3">
        <v>42530</v>
      </c>
      <c r="B1621" s="4" t="s">
        <v>0</v>
      </c>
      <c r="C1621" s="4">
        <v>728.580017</v>
      </c>
      <c r="D1621" s="6">
        <f t="shared" si="150"/>
        <v>4.1191298409198147E-4</v>
      </c>
      <c r="E1621" s="4">
        <f t="shared" si="151"/>
        <v>-2.4011228026709509E-3</v>
      </c>
      <c r="F1621" s="6">
        <f t="shared" si="152"/>
        <v>2.8130357867629323E-3</v>
      </c>
      <c r="G1621" s="4">
        <f t="shared" si="155"/>
        <v>4.5934915821277039E-2</v>
      </c>
      <c r="H1621" s="4">
        <f t="shared" si="153"/>
        <v>6.1239598167717443E-2</v>
      </c>
      <c r="I1621" s="4">
        <f t="shared" si="154"/>
        <v>-0.92081367739654452</v>
      </c>
    </row>
    <row r="1622" spans="1:9" x14ac:dyDescent="0.25">
      <c r="A1622" s="3">
        <v>42531</v>
      </c>
      <c r="B1622" s="4" t="s">
        <v>0</v>
      </c>
      <c r="C1622" s="4">
        <v>719.40997300000004</v>
      </c>
      <c r="D1622" s="6">
        <f t="shared" si="150"/>
        <v>-1.2586186535500275E-2</v>
      </c>
      <c r="E1622" s="4">
        <f t="shared" si="151"/>
        <v>6.2465017582427809E-3</v>
      </c>
      <c r="F1622" s="6">
        <f t="shared" si="152"/>
        <v>-1.8832688293743058E-2</v>
      </c>
      <c r="G1622" s="4">
        <f t="shared" si="155"/>
        <v>1.834931454954444E-2</v>
      </c>
      <c r="H1622" s="4">
        <f t="shared" si="153"/>
        <v>-1.0263428774352019</v>
      </c>
      <c r="I1622" s="4">
        <f t="shared" si="154"/>
        <v>-1.4456283842356576</v>
      </c>
    </row>
    <row r="1623" spans="1:9" x14ac:dyDescent="0.25">
      <c r="A1623" s="3">
        <v>42534</v>
      </c>
      <c r="B1623" s="4" t="s">
        <v>0</v>
      </c>
      <c r="C1623" s="4">
        <v>718.35998500000005</v>
      </c>
      <c r="D1623" s="6">
        <f t="shared" si="150"/>
        <v>-1.4595127109809816E-3</v>
      </c>
      <c r="E1623" s="4">
        <f t="shared" si="151"/>
        <v>5.1271640078156726E-3</v>
      </c>
      <c r="F1623" s="6">
        <f t="shared" si="152"/>
        <v>-6.5866767187966538E-3</v>
      </c>
      <c r="G1623" s="4">
        <f t="shared" si="155"/>
        <v>3.6314385930699127E-2</v>
      </c>
      <c r="H1623" s="4">
        <f t="shared" si="153"/>
        <v>-0.18137926747175059</v>
      </c>
      <c r="I1623" s="4">
        <f t="shared" si="154"/>
        <v>-0.935387752538967</v>
      </c>
    </row>
    <row r="1624" spans="1:9" x14ac:dyDescent="0.25">
      <c r="A1624" s="3">
        <v>42535</v>
      </c>
      <c r="B1624" s="4" t="s">
        <v>0</v>
      </c>
      <c r="C1624" s="4">
        <v>718.27002000000005</v>
      </c>
      <c r="D1624" s="6">
        <f t="shared" si="150"/>
        <v>-1.2523665276262082E-4</v>
      </c>
      <c r="E1624" s="4">
        <f t="shared" si="151"/>
        <v>-4.6853174644037729E-3</v>
      </c>
      <c r="F1624" s="6">
        <f t="shared" si="152"/>
        <v>4.5600808116411521E-3</v>
      </c>
      <c r="G1624" s="4">
        <f t="shared" si="155"/>
        <v>1.5994877165062697E-2</v>
      </c>
      <c r="H1624" s="4">
        <f t="shared" si="153"/>
        <v>0.28509633206822299</v>
      </c>
      <c r="I1624" s="4">
        <f t="shared" si="154"/>
        <v>-0.95957849248404992</v>
      </c>
    </row>
    <row r="1625" spans="1:9" x14ac:dyDescent="0.25">
      <c r="A1625" s="3">
        <v>42536</v>
      </c>
      <c r="B1625" s="4" t="s">
        <v>0</v>
      </c>
      <c r="C1625" s="4">
        <v>718.919983</v>
      </c>
      <c r="D1625" s="6">
        <f t="shared" si="150"/>
        <v>9.0490063889894356E-4</v>
      </c>
      <c r="E1625" s="4">
        <f t="shared" si="151"/>
        <v>-4.4124913501051768E-3</v>
      </c>
      <c r="F1625" s="6">
        <f t="shared" si="152"/>
        <v>5.3173919890041202E-3</v>
      </c>
      <c r="G1625" s="4">
        <f t="shared" si="155"/>
        <v>1.2574728835095743E-2</v>
      </c>
      <c r="H1625" s="4">
        <f t="shared" si="153"/>
        <v>0.42286335226278732</v>
      </c>
      <c r="I1625" s="4">
        <f t="shared" si="154"/>
        <v>-1.0083452405481337</v>
      </c>
    </row>
    <row r="1626" spans="1:9" x14ac:dyDescent="0.25">
      <c r="A1626" s="3">
        <v>42537</v>
      </c>
      <c r="B1626" s="4" t="s">
        <v>0</v>
      </c>
      <c r="C1626" s="4">
        <v>710.35998500000005</v>
      </c>
      <c r="D1626" s="6">
        <f t="shared" si="150"/>
        <v>-1.1906746512010574E-2</v>
      </c>
      <c r="E1626" s="4">
        <f t="shared" si="151"/>
        <v>-4.9483626780445777E-4</v>
      </c>
      <c r="F1626" s="6">
        <f t="shared" si="152"/>
        <v>-1.1411910244206116E-2</v>
      </c>
      <c r="G1626" s="4">
        <f t="shared" si="155"/>
        <v>1.6098132901962166E-2</v>
      </c>
      <c r="H1626" s="4">
        <f t="shared" si="153"/>
        <v>-0.70889651077580207</v>
      </c>
      <c r="I1626" s="4">
        <f t="shared" si="154"/>
        <v>-1.1702056646997261</v>
      </c>
    </row>
    <row r="1627" spans="1:9" x14ac:dyDescent="0.25">
      <c r="A1627" s="3">
        <v>42538</v>
      </c>
      <c r="B1627" s="4" t="s">
        <v>0</v>
      </c>
      <c r="C1627" s="4">
        <v>691.71997099999999</v>
      </c>
      <c r="D1627" s="6">
        <f t="shared" si="150"/>
        <v>-2.6240236490798482E-2</v>
      </c>
      <c r="E1627" s="4">
        <f t="shared" si="151"/>
        <v>3.0733256935424247E-4</v>
      </c>
      <c r="F1627" s="6">
        <f t="shared" si="152"/>
        <v>-2.6547569060152723E-2</v>
      </c>
      <c r="G1627" s="4">
        <f t="shared" si="155"/>
        <v>2.5621183449607541E-2</v>
      </c>
      <c r="H1627" s="4">
        <f t="shared" si="153"/>
        <v>-1.0361570187562656</v>
      </c>
      <c r="I1627" s="4">
        <f t="shared" si="154"/>
        <v>-1.4557492169636088</v>
      </c>
    </row>
    <row r="1628" spans="1:9" x14ac:dyDescent="0.25">
      <c r="A1628" s="3">
        <v>42541</v>
      </c>
      <c r="B1628" s="4" t="s">
        <v>0</v>
      </c>
      <c r="C1628" s="4">
        <v>693.71002199999998</v>
      </c>
      <c r="D1628" s="6">
        <f t="shared" si="150"/>
        <v>2.8769604513847326E-3</v>
      </c>
      <c r="E1628" s="4">
        <f t="shared" si="151"/>
        <v>-4.2750987221853755E-3</v>
      </c>
      <c r="F1628" s="6">
        <f t="shared" si="152"/>
        <v>7.1520591735701085E-3</v>
      </c>
      <c r="G1628" s="4">
        <f t="shared" si="155"/>
        <v>3.7272658135309548E-2</v>
      </c>
      <c r="H1628" s="4">
        <f t="shared" si="153"/>
        <v>0.19188487034131704</v>
      </c>
      <c r="I1628" s="4">
        <f t="shared" si="154"/>
        <v>-0.93734843493762465</v>
      </c>
    </row>
    <row r="1629" spans="1:9" x14ac:dyDescent="0.25">
      <c r="A1629" s="3">
        <v>42542</v>
      </c>
      <c r="B1629" s="4" t="s">
        <v>0</v>
      </c>
      <c r="C1629" s="4">
        <v>695.94000200000005</v>
      </c>
      <c r="D1629" s="6">
        <f t="shared" si="150"/>
        <v>3.2145708282704738E-3</v>
      </c>
      <c r="E1629" s="4">
        <f t="shared" si="151"/>
        <v>-1.367750698413971E-2</v>
      </c>
      <c r="F1629" s="6">
        <f t="shared" si="152"/>
        <v>1.6892077812410183E-2</v>
      </c>
      <c r="G1629" s="4">
        <f t="shared" si="155"/>
        <v>1.6454369579452406E-2</v>
      </c>
      <c r="H1629" s="4">
        <f t="shared" si="153"/>
        <v>1.026601337161186</v>
      </c>
      <c r="I1629" s="4">
        <f t="shared" si="154"/>
        <v>-1.4458936859352403</v>
      </c>
    </row>
    <row r="1630" spans="1:9" x14ac:dyDescent="0.25">
      <c r="A1630" s="3">
        <v>42543</v>
      </c>
      <c r="B1630" s="4" t="s">
        <v>0</v>
      </c>
      <c r="C1630" s="4">
        <v>697.46002199999998</v>
      </c>
      <c r="D1630" s="6">
        <f t="shared" si="150"/>
        <v>2.1841250619761489E-3</v>
      </c>
      <c r="E1630" s="4">
        <f t="shared" si="151"/>
        <v>-6.9362639907430967E-3</v>
      </c>
      <c r="F1630" s="6">
        <f t="shared" si="152"/>
        <v>9.1203890527192452E-3</v>
      </c>
      <c r="G1630" s="4">
        <f t="shared" si="155"/>
        <v>3.6190482982010365E-2</v>
      </c>
      <c r="H1630" s="4">
        <f t="shared" si="153"/>
        <v>0.25201070284839322</v>
      </c>
      <c r="I1630" s="4">
        <f t="shared" si="154"/>
        <v>-0.95069323037974318</v>
      </c>
    </row>
    <row r="1631" spans="1:9" x14ac:dyDescent="0.25">
      <c r="A1631" s="3">
        <v>42544</v>
      </c>
      <c r="B1631" s="4" t="s">
        <v>0</v>
      </c>
      <c r="C1631" s="4">
        <v>701.86999500000002</v>
      </c>
      <c r="D1631" s="6">
        <f t="shared" si="150"/>
        <v>6.3229043398849265E-3</v>
      </c>
      <c r="E1631" s="4">
        <f t="shared" si="151"/>
        <v>2.1099828051489053E-3</v>
      </c>
      <c r="F1631" s="6">
        <f t="shared" si="152"/>
        <v>4.2129215347360208E-3</v>
      </c>
      <c r="G1631" s="4">
        <f t="shared" si="155"/>
        <v>1.7050014689501191E-2</v>
      </c>
      <c r="H1631" s="4">
        <f t="shared" si="153"/>
        <v>0.24709195924213437</v>
      </c>
      <c r="I1631" s="4">
        <f t="shared" si="154"/>
        <v>-0.94946575136573097</v>
      </c>
    </row>
    <row r="1632" spans="1:9" x14ac:dyDescent="0.25">
      <c r="A1632" s="3">
        <v>42545</v>
      </c>
      <c r="B1632" s="4" t="s">
        <v>0</v>
      </c>
      <c r="C1632" s="4">
        <v>675.21997099999999</v>
      </c>
      <c r="D1632" s="6">
        <f t="shared" si="150"/>
        <v>-3.7970028908273862E-2</v>
      </c>
      <c r="E1632" s="4">
        <f t="shared" si="151"/>
        <v>1.8195415051473541E-3</v>
      </c>
      <c r="F1632" s="6">
        <f t="shared" si="152"/>
        <v>-3.9789570413421217E-2</v>
      </c>
      <c r="G1632" s="4">
        <f t="shared" si="155"/>
        <v>1.1802638153911466E-2</v>
      </c>
      <c r="H1632" s="4">
        <f t="shared" si="153"/>
        <v>-3.3712437757176104</v>
      </c>
      <c r="I1632" s="4">
        <f t="shared" si="154"/>
        <v>-6.6015808308620381</v>
      </c>
    </row>
    <row r="1633" spans="1:9" x14ac:dyDescent="0.25">
      <c r="A1633" s="3">
        <v>42548</v>
      </c>
      <c r="B1633" s="4" t="s">
        <v>0</v>
      </c>
      <c r="C1633" s="4">
        <v>668.26000999999997</v>
      </c>
      <c r="D1633" s="6">
        <f t="shared" si="150"/>
        <v>-1.0307694231395921E-2</v>
      </c>
      <c r="E1633" s="4">
        <f t="shared" si="151"/>
        <v>3.0852486474785973E-3</v>
      </c>
      <c r="F1633" s="6">
        <f t="shared" si="152"/>
        <v>-1.3392942878874518E-2</v>
      </c>
      <c r="G1633" s="4">
        <f t="shared" si="155"/>
        <v>0.11608866253815454</v>
      </c>
      <c r="H1633" s="4">
        <f t="shared" si="153"/>
        <v>-0.11536822447646596</v>
      </c>
      <c r="I1633" s="4">
        <f t="shared" si="154"/>
        <v>-0.92559344681409883</v>
      </c>
    </row>
    <row r="1634" spans="1:9" x14ac:dyDescent="0.25">
      <c r="A1634" s="3">
        <v>42549</v>
      </c>
      <c r="B1634" s="4" t="s">
        <v>0</v>
      </c>
      <c r="C1634" s="4">
        <v>680.03997800000002</v>
      </c>
      <c r="D1634" s="6">
        <f t="shared" si="150"/>
        <v>1.7627821242812442E-2</v>
      </c>
      <c r="E1634" s="4">
        <f t="shared" si="151"/>
        <v>-1.2578955642920745E-2</v>
      </c>
      <c r="F1634" s="6">
        <f t="shared" si="152"/>
        <v>3.0206776885733186E-2</v>
      </c>
      <c r="G1634" s="4">
        <f t="shared" si="155"/>
        <v>4.4770216274862502E-2</v>
      </c>
      <c r="H1634" s="4">
        <f t="shared" si="153"/>
        <v>0.67470696813885245</v>
      </c>
      <c r="I1634" s="4">
        <f t="shared" si="154"/>
        <v>-1.146553279632234</v>
      </c>
    </row>
    <row r="1635" spans="1:9" x14ac:dyDescent="0.25">
      <c r="A1635" s="3">
        <v>42550</v>
      </c>
      <c r="B1635" s="4" t="s">
        <v>0</v>
      </c>
      <c r="C1635" s="4">
        <v>684.10998500000005</v>
      </c>
      <c r="D1635" s="6">
        <f t="shared" si="150"/>
        <v>5.9849525493632554E-3</v>
      </c>
      <c r="E1635" s="4">
        <f t="shared" si="151"/>
        <v>-1.5568470070706528E-2</v>
      </c>
      <c r="F1635" s="6">
        <f t="shared" si="152"/>
        <v>2.1553422620069783E-2</v>
      </c>
      <c r="G1635" s="4">
        <f t="shared" si="155"/>
        <v>2.9237998405942704E-2</v>
      </c>
      <c r="H1635" s="4">
        <f t="shared" si="153"/>
        <v>0.73717161896037964</v>
      </c>
      <c r="I1635" s="4">
        <f t="shared" si="154"/>
        <v>-1.1906495311050063</v>
      </c>
    </row>
    <row r="1636" spans="1:9" x14ac:dyDescent="0.25">
      <c r="A1636" s="3">
        <v>42551</v>
      </c>
      <c r="B1636" s="4" t="s">
        <v>0</v>
      </c>
      <c r="C1636" s="4">
        <v>692.09997599999997</v>
      </c>
      <c r="D1636" s="6">
        <f t="shared" si="150"/>
        <v>1.167939538260053E-2</v>
      </c>
      <c r="E1636" s="4">
        <f t="shared" si="151"/>
        <v>3.5821152455659199E-3</v>
      </c>
      <c r="F1636" s="6">
        <f t="shared" si="152"/>
        <v>8.0972801370346095E-3</v>
      </c>
      <c r="G1636" s="4">
        <f t="shared" si="155"/>
        <v>2.8134948527224118E-2</v>
      </c>
      <c r="H1636" s="4">
        <f t="shared" si="153"/>
        <v>0.28780149106011221</v>
      </c>
      <c r="I1636" s="4">
        <f t="shared" si="154"/>
        <v>-0.9603533823328847</v>
      </c>
    </row>
    <row r="1637" spans="1:9" x14ac:dyDescent="0.25">
      <c r="A1637" s="3">
        <v>42552</v>
      </c>
      <c r="B1637" s="4" t="s">
        <v>0</v>
      </c>
      <c r="C1637" s="4">
        <v>699.21002199999998</v>
      </c>
      <c r="D1637" s="6">
        <f t="shared" si="150"/>
        <v>1.0273148745203846E-2</v>
      </c>
      <c r="E1637" s="4">
        <f t="shared" si="151"/>
        <v>7.6867158156982375E-3</v>
      </c>
      <c r="F1637" s="6">
        <f t="shared" si="152"/>
        <v>2.5864329295056084E-3</v>
      </c>
      <c r="G1637" s="4">
        <f t="shared" si="155"/>
        <v>1.5428066755162539E-2</v>
      </c>
      <c r="H1637" s="4">
        <f t="shared" si="153"/>
        <v>0.16764465506607537</v>
      </c>
      <c r="I1637" s="4">
        <f t="shared" si="154"/>
        <v>-0.93299089839078431</v>
      </c>
    </row>
    <row r="1638" spans="1:9" x14ac:dyDescent="0.25">
      <c r="A1638" s="3">
        <v>42556</v>
      </c>
      <c r="B1638" s="4" t="s">
        <v>0</v>
      </c>
      <c r="C1638" s="4">
        <v>694.95001200000002</v>
      </c>
      <c r="D1638" s="6">
        <f t="shared" si="150"/>
        <v>-6.0926043191068075E-3</v>
      </c>
      <c r="E1638" s="4">
        <f t="shared" si="151"/>
        <v>6.2979005465189372E-3</v>
      </c>
      <c r="F1638" s="6">
        <f t="shared" si="152"/>
        <v>-1.2390504865625745E-2</v>
      </c>
      <c r="G1638" s="4">
        <f t="shared" si="155"/>
        <v>9.6273521917485342E-3</v>
      </c>
      <c r="H1638" s="4">
        <f t="shared" si="153"/>
        <v>-1.2870106566004169</v>
      </c>
      <c r="I1638" s="4">
        <f t="shared" si="154"/>
        <v>-1.7471367483061908</v>
      </c>
    </row>
    <row r="1639" spans="1:9" x14ac:dyDescent="0.25">
      <c r="A1639" s="3">
        <v>42557</v>
      </c>
      <c r="B1639" s="4" t="s">
        <v>0</v>
      </c>
      <c r="C1639" s="4">
        <v>697.77002000000005</v>
      </c>
      <c r="D1639" s="6">
        <f t="shared" si="150"/>
        <v>4.0578573297442144E-3</v>
      </c>
      <c r="E1639" s="4">
        <f t="shared" si="151"/>
        <v>7.5039300798972058E-3</v>
      </c>
      <c r="F1639" s="6">
        <f t="shared" si="152"/>
        <v>-3.4460727501529915E-3</v>
      </c>
      <c r="G1639" s="4">
        <f t="shared" si="155"/>
        <v>4.4674617826637709E-2</v>
      </c>
      <c r="H1639" s="4">
        <f t="shared" si="153"/>
        <v>-7.7137151201285364E-2</v>
      </c>
      <c r="I1639" s="4">
        <f t="shared" si="154"/>
        <v>-0.92191360325239768</v>
      </c>
    </row>
    <row r="1640" spans="1:9" x14ac:dyDescent="0.25">
      <c r="A1640" s="3">
        <v>42558</v>
      </c>
      <c r="B1640" s="4" t="s">
        <v>0</v>
      </c>
      <c r="C1640" s="4">
        <v>695.35998500000005</v>
      </c>
      <c r="D1640" s="6">
        <f t="shared" si="150"/>
        <v>-3.4539102152884031E-3</v>
      </c>
      <c r="E1640" s="4">
        <f t="shared" si="151"/>
        <v>8.1717967648158637E-4</v>
      </c>
      <c r="F1640" s="6">
        <f t="shared" si="152"/>
        <v>-4.2710898917699899E-3</v>
      </c>
      <c r="G1640" s="4">
        <f t="shared" si="155"/>
        <v>1.7962633655126584E-2</v>
      </c>
      <c r="H1640" s="4">
        <f t="shared" si="153"/>
        <v>-0.23777637365281395</v>
      </c>
      <c r="I1640" s="4">
        <f t="shared" si="154"/>
        <v>-0.94720733513841393</v>
      </c>
    </row>
    <row r="1641" spans="1:9" x14ac:dyDescent="0.25">
      <c r="A1641" s="3">
        <v>42559</v>
      </c>
      <c r="B1641" s="4" t="s">
        <v>0</v>
      </c>
      <c r="C1641" s="4">
        <v>705.63000499999998</v>
      </c>
      <c r="D1641" s="6">
        <f t="shared" si="150"/>
        <v>1.4769357198487529E-2</v>
      </c>
      <c r="E1641" s="4">
        <f t="shared" si="151"/>
        <v>-3.1470810541220622E-4</v>
      </c>
      <c r="F1641" s="6">
        <f t="shared" si="152"/>
        <v>1.5084065303899736E-2</v>
      </c>
      <c r="G1641" s="4">
        <f t="shared" si="155"/>
        <v>1.1773725628205176E-2</v>
      </c>
      <c r="H1641" s="4">
        <f t="shared" si="153"/>
        <v>1.2811633105976497</v>
      </c>
      <c r="I1641" s="4">
        <f t="shared" si="154"/>
        <v>-1.7396282474154376</v>
      </c>
    </row>
    <row r="1642" spans="1:9" x14ac:dyDescent="0.25">
      <c r="A1642" s="3">
        <v>42562</v>
      </c>
      <c r="B1642" s="4" t="s">
        <v>0</v>
      </c>
      <c r="C1642" s="4">
        <v>715.09002699999996</v>
      </c>
      <c r="D1642" s="6">
        <f t="shared" si="150"/>
        <v>1.3406490558745416E-2</v>
      </c>
      <c r="E1642" s="4">
        <f t="shared" si="151"/>
        <v>-7.7334920514065012E-5</v>
      </c>
      <c r="F1642" s="6">
        <f t="shared" si="152"/>
        <v>1.3483825479259481E-2</v>
      </c>
      <c r="G1642" s="4">
        <f t="shared" si="155"/>
        <v>4.4550736947126628E-2</v>
      </c>
      <c r="H1642" s="4">
        <f t="shared" si="153"/>
        <v>0.30266223194606756</v>
      </c>
      <c r="I1642" s="4">
        <f t="shared" si="154"/>
        <v>-0.96474074652796027</v>
      </c>
    </row>
    <row r="1643" spans="1:9" x14ac:dyDescent="0.25">
      <c r="A1643" s="3">
        <v>42563</v>
      </c>
      <c r="B1643" s="4" t="s">
        <v>0</v>
      </c>
      <c r="C1643" s="4">
        <v>720.64001499999995</v>
      </c>
      <c r="D1643" s="6">
        <f t="shared" si="150"/>
        <v>7.7612437461667821E-3</v>
      </c>
      <c r="E1643" s="4">
        <f t="shared" si="151"/>
        <v>4.588518796402187E-3</v>
      </c>
      <c r="F1643" s="6">
        <f t="shared" si="152"/>
        <v>3.1727249497645951E-3</v>
      </c>
      <c r="G1643" s="4">
        <f t="shared" si="155"/>
        <v>2.0549250698506404E-2</v>
      </c>
      <c r="H1643" s="4">
        <f t="shared" si="153"/>
        <v>0.15439613815189868</v>
      </c>
      <c r="I1643" s="4">
        <f t="shared" si="154"/>
        <v>-0.9308576169427828</v>
      </c>
    </row>
    <row r="1644" spans="1:9" x14ac:dyDescent="0.25">
      <c r="A1644" s="3">
        <v>42564</v>
      </c>
      <c r="B1644" s="4" t="s">
        <v>0</v>
      </c>
      <c r="C1644" s="4">
        <v>716.97997999999995</v>
      </c>
      <c r="D1644" s="6">
        <f t="shared" si="150"/>
        <v>-5.078867289932538E-3</v>
      </c>
      <c r="E1644" s="4">
        <f t="shared" si="151"/>
        <v>9.6483262560358787E-3</v>
      </c>
      <c r="F1644" s="6">
        <f t="shared" si="152"/>
        <v>-1.4727193545968416E-2</v>
      </c>
      <c r="G1644" s="4">
        <f t="shared" si="155"/>
        <v>1.0700129184658897E-2</v>
      </c>
      <c r="H1644" s="4">
        <f t="shared" si="153"/>
        <v>-1.3763566113840238</v>
      </c>
      <c r="I1644" s="4">
        <f t="shared" si="154"/>
        <v>-1.8661172940549289</v>
      </c>
    </row>
    <row r="1645" spans="1:9" x14ac:dyDescent="0.25">
      <c r="A1645" s="3">
        <v>42565</v>
      </c>
      <c r="B1645" s="4" t="s">
        <v>0</v>
      </c>
      <c r="C1645" s="4">
        <v>720.95001200000002</v>
      </c>
      <c r="D1645" s="6">
        <f t="shared" si="150"/>
        <v>5.5371587920768168E-3</v>
      </c>
      <c r="E1645" s="4">
        <f t="shared" si="151"/>
        <v>7.072627996267216E-3</v>
      </c>
      <c r="F1645" s="6">
        <f t="shared" si="152"/>
        <v>-1.5354692041903992E-3</v>
      </c>
      <c r="G1645" s="4">
        <f t="shared" si="155"/>
        <v>4.7751666419973735E-2</v>
      </c>
      <c r="H1645" s="4">
        <f t="shared" si="153"/>
        <v>-3.2155300941458617E-2</v>
      </c>
      <c r="I1645" s="4">
        <f t="shared" si="154"/>
        <v>-0.91945551489399058</v>
      </c>
    </row>
    <row r="1646" spans="1:9" x14ac:dyDescent="0.25">
      <c r="A1646" s="3">
        <v>42566</v>
      </c>
      <c r="B1646" s="4" t="s">
        <v>0</v>
      </c>
      <c r="C1646" s="4">
        <v>719.84997599999997</v>
      </c>
      <c r="D1646" s="6">
        <f t="shared" si="150"/>
        <v>-1.5258145248495335E-3</v>
      </c>
      <c r="E1646" s="4">
        <f t="shared" si="151"/>
        <v>4.354633980964849E-4</v>
      </c>
      <c r="F1646" s="6">
        <f t="shared" si="152"/>
        <v>-1.9612779229460182E-3</v>
      </c>
      <c r="G1646" s="4">
        <f t="shared" si="155"/>
        <v>1.8928552996115802E-2</v>
      </c>
      <c r="H1646" s="4">
        <f t="shared" si="153"/>
        <v>-0.10361478362072782</v>
      </c>
      <c r="I1646" s="4">
        <f t="shared" si="154"/>
        <v>-0.92430654489705777</v>
      </c>
    </row>
    <row r="1647" spans="1:9" x14ac:dyDescent="0.25">
      <c r="A1647" s="3">
        <v>42569</v>
      </c>
      <c r="B1647" s="4" t="s">
        <v>0</v>
      </c>
      <c r="C1647" s="4">
        <v>733.78002900000001</v>
      </c>
      <c r="D1647" s="6">
        <f t="shared" si="150"/>
        <v>1.9351328005045378E-2</v>
      </c>
      <c r="E1647" s="4">
        <f t="shared" si="151"/>
        <v>5.6129586951333011E-4</v>
      </c>
      <c r="F1647" s="6">
        <f t="shared" si="152"/>
        <v>1.8790032135532049E-2</v>
      </c>
      <c r="G1647" s="4">
        <f t="shared" si="155"/>
        <v>9.470217421136011E-3</v>
      </c>
      <c r="H1647" s="4">
        <f t="shared" si="153"/>
        <v>1.9841183470186969</v>
      </c>
      <c r="I1647" s="4">
        <f t="shared" si="154"/>
        <v>-2.8873013406927761</v>
      </c>
    </row>
    <row r="1648" spans="1:9" x14ac:dyDescent="0.25">
      <c r="A1648" s="3">
        <v>42570</v>
      </c>
      <c r="B1648" s="4" t="s">
        <v>0</v>
      </c>
      <c r="C1648" s="4">
        <v>736.96002199999998</v>
      </c>
      <c r="D1648" s="6">
        <f t="shared" si="150"/>
        <v>4.3337142935515457E-3</v>
      </c>
      <c r="E1648" s="4">
        <f t="shared" si="151"/>
        <v>1.1128669760366795E-3</v>
      </c>
      <c r="F1648" s="6">
        <f t="shared" si="152"/>
        <v>3.2208473175148662E-3</v>
      </c>
      <c r="G1648" s="4">
        <f t="shared" si="155"/>
        <v>6.8485596739207608E-2</v>
      </c>
      <c r="H1648" s="4">
        <f t="shared" si="153"/>
        <v>4.7029557613111221E-2</v>
      </c>
      <c r="I1648" s="4">
        <f t="shared" si="154"/>
        <v>-0.92004442284931509</v>
      </c>
    </row>
    <row r="1649" spans="1:9" x14ac:dyDescent="0.25">
      <c r="A1649" s="3">
        <v>42571</v>
      </c>
      <c r="B1649" s="4" t="s">
        <v>0</v>
      </c>
      <c r="C1649" s="4">
        <v>741.19000200000005</v>
      </c>
      <c r="D1649" s="6">
        <f t="shared" si="150"/>
        <v>5.7397686085067842E-3</v>
      </c>
      <c r="E1649" s="4">
        <f t="shared" si="151"/>
        <v>6.930413123226788E-3</v>
      </c>
      <c r="F1649" s="6">
        <f t="shared" si="152"/>
        <v>-1.1906445147200038E-3</v>
      </c>
      <c r="G1649" s="4">
        <f t="shared" si="155"/>
        <v>2.6662412960060968E-2</v>
      </c>
      <c r="H1649" s="4">
        <f t="shared" si="153"/>
        <v>-4.4656292605756764E-2</v>
      </c>
      <c r="I1649" s="4">
        <f t="shared" si="154"/>
        <v>-0.91993562543931828</v>
      </c>
    </row>
    <row r="1650" spans="1:9" x14ac:dyDescent="0.25">
      <c r="A1650" s="3">
        <v>42572</v>
      </c>
      <c r="B1650" s="4" t="s">
        <v>0</v>
      </c>
      <c r="C1650" s="4">
        <v>738.63000499999998</v>
      </c>
      <c r="D1650" s="6">
        <f t="shared" si="150"/>
        <v>-3.4539011496273076E-3</v>
      </c>
      <c r="E1650" s="4">
        <f t="shared" si="151"/>
        <v>7.5831907130055184E-3</v>
      </c>
      <c r="F1650" s="6">
        <f t="shared" si="152"/>
        <v>-1.1037091862632825E-2</v>
      </c>
      <c r="G1650" s="4">
        <f t="shared" si="155"/>
        <v>1.1433951246744765E-2</v>
      </c>
      <c r="H1650" s="4">
        <f t="shared" si="153"/>
        <v>-0.96529114253264592</v>
      </c>
      <c r="I1650" s="4">
        <f t="shared" si="154"/>
        <v>-1.3848320281306632</v>
      </c>
    </row>
    <row r="1651" spans="1:9" x14ac:dyDescent="0.25">
      <c r="A1651" s="3">
        <v>42573</v>
      </c>
      <c r="B1651" s="4" t="s">
        <v>0</v>
      </c>
      <c r="C1651" s="4">
        <v>742.73999000000003</v>
      </c>
      <c r="D1651" s="6">
        <f t="shared" si="150"/>
        <v>5.5643352858378015E-3</v>
      </c>
      <c r="E1651" s="4">
        <f t="shared" si="151"/>
        <v>3.5213347612623536E-3</v>
      </c>
      <c r="F1651" s="6">
        <f t="shared" si="152"/>
        <v>2.0430005245754479E-3</v>
      </c>
      <c r="G1651" s="4">
        <f t="shared" si="155"/>
        <v>3.3838185669650092E-2</v>
      </c>
      <c r="H1651" s="4">
        <f t="shared" si="153"/>
        <v>6.0375592962356769E-2</v>
      </c>
      <c r="I1651" s="4">
        <f t="shared" si="154"/>
        <v>-0.92076113931745074</v>
      </c>
    </row>
    <row r="1652" spans="1:9" x14ac:dyDescent="0.25">
      <c r="A1652" s="3">
        <v>42576</v>
      </c>
      <c r="B1652" s="4" t="s">
        <v>0</v>
      </c>
      <c r="C1652" s="4">
        <v>739.77002000000005</v>
      </c>
      <c r="D1652" s="6">
        <f t="shared" si="150"/>
        <v>-3.9986671513405235E-3</v>
      </c>
      <c r="E1652" s="4">
        <f t="shared" si="151"/>
        <v>4.3757349308944874E-4</v>
      </c>
      <c r="F1652" s="6">
        <f t="shared" si="152"/>
        <v>-4.4362406444299722E-3</v>
      </c>
      <c r="G1652" s="4">
        <f t="shared" si="155"/>
        <v>1.3998239361902906E-2</v>
      </c>
      <c r="H1652" s="4">
        <f t="shared" si="153"/>
        <v>-0.31691418683005818</v>
      </c>
      <c r="I1652" s="4">
        <f t="shared" si="154"/>
        <v>-0.96915583411175121</v>
      </c>
    </row>
    <row r="1653" spans="1:9" x14ac:dyDescent="0.25">
      <c r="A1653" s="3">
        <v>42577</v>
      </c>
      <c r="B1653" s="4" t="s">
        <v>0</v>
      </c>
      <c r="C1653" s="4">
        <v>738.419983</v>
      </c>
      <c r="D1653" s="6">
        <f t="shared" si="150"/>
        <v>-1.8249414865447546E-3</v>
      </c>
      <c r="E1653" s="4">
        <f t="shared" si="151"/>
        <v>1.06928489596941E-3</v>
      </c>
      <c r="F1653" s="6">
        <f t="shared" si="152"/>
        <v>-2.8942263825141646E-3</v>
      </c>
      <c r="G1653" s="4">
        <f t="shared" si="155"/>
        <v>1.3116176522982225E-2</v>
      </c>
      <c r="H1653" s="4">
        <f t="shared" si="153"/>
        <v>-0.22066082882026539</v>
      </c>
      <c r="I1653" s="4">
        <f t="shared" si="154"/>
        <v>-0.94328413389249588</v>
      </c>
    </row>
    <row r="1654" spans="1:9" x14ac:dyDescent="0.25">
      <c r="A1654" s="3">
        <v>42578</v>
      </c>
      <c r="B1654" s="4" t="s">
        <v>0</v>
      </c>
      <c r="C1654" s="4">
        <v>741.77002000000005</v>
      </c>
      <c r="D1654" s="6">
        <f t="shared" si="150"/>
        <v>4.5367637349002284E-3</v>
      </c>
      <c r="E1654" s="4">
        <f t="shared" si="151"/>
        <v>1.754461426726943E-4</v>
      </c>
      <c r="F1654" s="6">
        <f t="shared" si="152"/>
        <v>4.3613175922275343E-3</v>
      </c>
      <c r="G1654" s="4">
        <f t="shared" si="155"/>
        <v>1.0363325871643151E-2</v>
      </c>
      <c r="H1654" s="4">
        <f t="shared" si="153"/>
        <v>0.42084149878575883</v>
      </c>
      <c r="I1654" s="4">
        <f t="shared" si="154"/>
        <v>-1.0074923167547947</v>
      </c>
    </row>
    <row r="1655" spans="1:9" x14ac:dyDescent="0.25">
      <c r="A1655" s="3">
        <v>42579</v>
      </c>
      <c r="B1655" s="4" t="s">
        <v>0</v>
      </c>
      <c r="C1655" s="4">
        <v>745.90997300000004</v>
      </c>
      <c r="D1655" s="6">
        <f t="shared" si="150"/>
        <v>5.5811813478252887E-3</v>
      </c>
      <c r="E1655" s="4">
        <f t="shared" si="151"/>
        <v>-1.922147127672159E-3</v>
      </c>
      <c r="F1655" s="6">
        <f t="shared" si="152"/>
        <v>7.5033284754974479E-3</v>
      </c>
      <c r="G1655" s="4">
        <f t="shared" si="155"/>
        <v>1.5803228660341638E-2</v>
      </c>
      <c r="H1655" s="4">
        <f t="shared" si="153"/>
        <v>0.4747971845985578</v>
      </c>
      <c r="I1655" s="4">
        <f t="shared" si="154"/>
        <v>-1.031654716456031</v>
      </c>
    </row>
    <row r="1656" spans="1:9" x14ac:dyDescent="0.25">
      <c r="A1656" s="3">
        <v>42580</v>
      </c>
      <c r="B1656" s="4" t="s">
        <v>0</v>
      </c>
      <c r="C1656" s="4">
        <v>768.78997800000002</v>
      </c>
      <c r="D1656" s="6">
        <f t="shared" si="150"/>
        <v>3.0673949710014109E-2</v>
      </c>
      <c r="E1656" s="4">
        <f t="shared" si="151"/>
        <v>1.1755297464303412E-3</v>
      </c>
      <c r="F1656" s="6">
        <f t="shared" si="152"/>
        <v>2.9498419963583766E-2</v>
      </c>
      <c r="G1656" s="4">
        <f t="shared" si="155"/>
        <v>1.8099588495602212E-2</v>
      </c>
      <c r="H1656" s="4">
        <f t="shared" si="153"/>
        <v>1.629784012534385</v>
      </c>
      <c r="I1656" s="4">
        <f t="shared" si="154"/>
        <v>-2.2470364969610128</v>
      </c>
    </row>
    <row r="1657" spans="1:9" x14ac:dyDescent="0.25">
      <c r="A1657" s="3">
        <v>42583</v>
      </c>
      <c r="B1657" s="4" t="s">
        <v>0</v>
      </c>
      <c r="C1657" s="4">
        <v>772.88000499999998</v>
      </c>
      <c r="D1657" s="6">
        <f t="shared" si="150"/>
        <v>5.3200836600915775E-3</v>
      </c>
      <c r="E1657" s="4">
        <f t="shared" si="151"/>
        <v>3.5235770497605194E-3</v>
      </c>
      <c r="F1657" s="6">
        <f t="shared" si="152"/>
        <v>1.7965066103310581E-3</v>
      </c>
      <c r="G1657" s="4">
        <f t="shared" si="155"/>
        <v>5.6671123644250636E-2</v>
      </c>
      <c r="H1657" s="4">
        <f t="shared" si="153"/>
        <v>3.1700564499276808E-2</v>
      </c>
      <c r="I1657" s="4">
        <f t="shared" si="154"/>
        <v>-0.91944099609945906</v>
      </c>
    </row>
    <row r="1658" spans="1:9" x14ac:dyDescent="0.25">
      <c r="A1658" s="3">
        <v>42584</v>
      </c>
      <c r="B1658" s="4" t="s">
        <v>0</v>
      </c>
      <c r="C1658" s="4">
        <v>771.07000700000003</v>
      </c>
      <c r="D1658" s="6">
        <f t="shared" si="150"/>
        <v>-2.3418874706170596E-3</v>
      </c>
      <c r="E1658" s="4">
        <f t="shared" si="151"/>
        <v>1.3435369020512903E-2</v>
      </c>
      <c r="F1658" s="6">
        <f t="shared" si="152"/>
        <v>-1.5777256491129963E-2</v>
      </c>
      <c r="G1658" s="4">
        <f t="shared" si="155"/>
        <v>2.2225707649975168E-2</v>
      </c>
      <c r="H1658" s="4">
        <f t="shared" si="153"/>
        <v>-0.70986520382614637</v>
      </c>
      <c r="I1658" s="4">
        <f t="shared" si="154"/>
        <v>-1.1708928370062408</v>
      </c>
    </row>
    <row r="1659" spans="1:9" x14ac:dyDescent="0.25">
      <c r="A1659" s="3">
        <v>42585</v>
      </c>
      <c r="B1659" s="4" t="s">
        <v>0</v>
      </c>
      <c r="C1659" s="4">
        <v>773.17999299999997</v>
      </c>
      <c r="D1659" s="6">
        <f t="shared" si="150"/>
        <v>2.7364389495698996E-3</v>
      </c>
      <c r="E1659" s="4">
        <f t="shared" si="151"/>
        <v>1.1427675532254258E-2</v>
      </c>
      <c r="F1659" s="6">
        <f t="shared" si="152"/>
        <v>-8.6912365826843588E-3</v>
      </c>
      <c r="G1659" s="4">
        <f t="shared" si="155"/>
        <v>2.6311401728434037E-2</v>
      </c>
      <c r="H1659" s="4">
        <f t="shared" si="153"/>
        <v>-0.330322066166926</v>
      </c>
      <c r="I1659" s="4">
        <f t="shared" si="154"/>
        <v>-0.97349486690306619</v>
      </c>
    </row>
    <row r="1660" spans="1:9" x14ac:dyDescent="0.25">
      <c r="A1660" s="3">
        <v>42586</v>
      </c>
      <c r="B1660" s="4" t="s">
        <v>0</v>
      </c>
      <c r="C1660" s="4">
        <v>771.60998500000005</v>
      </c>
      <c r="D1660" s="6">
        <f t="shared" si="150"/>
        <v>-2.0305853930701959E-3</v>
      </c>
      <c r="E1660" s="4">
        <f t="shared" si="151"/>
        <v>7.3408720966618558E-4</v>
      </c>
      <c r="F1660" s="6">
        <f t="shared" si="152"/>
        <v>-2.7646726027363813E-3</v>
      </c>
      <c r="G1660" s="4">
        <f t="shared" si="155"/>
        <v>1.5956760545590698E-2</v>
      </c>
      <c r="H1660" s="4">
        <f t="shared" si="153"/>
        <v>-0.17326026763623636</v>
      </c>
      <c r="I1660" s="4">
        <f t="shared" si="154"/>
        <v>-0.93394809337536289</v>
      </c>
    </row>
    <row r="1661" spans="1:9" x14ac:dyDescent="0.25">
      <c r="A1661" s="3">
        <v>42587</v>
      </c>
      <c r="B1661" s="4" t="s">
        <v>0</v>
      </c>
      <c r="C1661" s="4">
        <v>782.21997099999999</v>
      </c>
      <c r="D1661" s="6">
        <f t="shared" si="150"/>
        <v>1.3750451920344103E-2</v>
      </c>
      <c r="E1661" s="4">
        <f t="shared" si="151"/>
        <v>3.2883490919065458E-4</v>
      </c>
      <c r="F1661" s="6">
        <f t="shared" si="152"/>
        <v>1.3421617011153448E-2</v>
      </c>
      <c r="G1661" s="4">
        <f t="shared" si="155"/>
        <v>9.8674375735596821E-3</v>
      </c>
      <c r="H1661" s="4">
        <f t="shared" si="153"/>
        <v>1.3601927462016459</v>
      </c>
      <c r="I1661" s="4">
        <f t="shared" si="154"/>
        <v>-1.8440006866144603</v>
      </c>
    </row>
    <row r="1662" spans="1:9" x14ac:dyDescent="0.25">
      <c r="A1662" s="3">
        <v>42590</v>
      </c>
      <c r="B1662" s="4" t="s">
        <v>0</v>
      </c>
      <c r="C1662" s="4">
        <v>781.76000999999997</v>
      </c>
      <c r="D1662" s="6">
        <f t="shared" si="150"/>
        <v>-5.8802001617524688E-4</v>
      </c>
      <c r="E1662" s="4">
        <f t="shared" si="151"/>
        <v>6.2064898051825308E-5</v>
      </c>
      <c r="F1662" s="6">
        <f t="shared" si="152"/>
        <v>-6.5008491422707218E-4</v>
      </c>
      <c r="G1662" s="4">
        <f t="shared" si="155"/>
        <v>4.7174687162607587E-2</v>
      </c>
      <c r="H1662" s="4">
        <f t="shared" si="153"/>
        <v>-1.3780375733839603E-2</v>
      </c>
      <c r="I1662" s="4">
        <f t="shared" si="154"/>
        <v>-0.91903348258235562</v>
      </c>
    </row>
    <row r="1663" spans="1:9" x14ac:dyDescent="0.25">
      <c r="A1663" s="3">
        <v>42591</v>
      </c>
      <c r="B1663" s="4" t="s">
        <v>0</v>
      </c>
      <c r="C1663" s="4">
        <v>784.26000999999997</v>
      </c>
      <c r="D1663" s="6">
        <f t="shared" si="150"/>
        <v>3.1979123618768885E-3</v>
      </c>
      <c r="E1663" s="4">
        <f t="shared" si="151"/>
        <v>4.6346289674614391E-3</v>
      </c>
      <c r="F1663" s="6">
        <f t="shared" si="152"/>
        <v>-1.4367166055845506E-3</v>
      </c>
      <c r="G1663" s="4">
        <f t="shared" si="155"/>
        <v>1.8689869907391934E-2</v>
      </c>
      <c r="H1663" s="4">
        <f t="shared" si="153"/>
        <v>-7.6871407489911003E-2</v>
      </c>
      <c r="I1663" s="4">
        <f t="shared" si="154"/>
        <v>-0.92189313984941268</v>
      </c>
    </row>
    <row r="1664" spans="1:9" x14ac:dyDescent="0.25">
      <c r="A1664" s="3">
        <v>42592</v>
      </c>
      <c r="B1664" s="4" t="s">
        <v>0</v>
      </c>
      <c r="C1664" s="4">
        <v>784.67999299999997</v>
      </c>
      <c r="D1664" s="6">
        <f t="shared" si="150"/>
        <v>5.3551500094975132E-4</v>
      </c>
      <c r="E1664" s="4">
        <f t="shared" si="151"/>
        <v>3.9863824454936508E-3</v>
      </c>
      <c r="F1664" s="6">
        <f t="shared" si="152"/>
        <v>-3.4508674445438993E-3</v>
      </c>
      <c r="G1664" s="4">
        <f t="shared" si="155"/>
        <v>9.0924286328317883E-3</v>
      </c>
      <c r="H1664" s="4">
        <f t="shared" si="153"/>
        <v>-0.37953198027677509</v>
      </c>
      <c r="I1664" s="4">
        <f t="shared" si="154"/>
        <v>-0.99096079523107783</v>
      </c>
    </row>
    <row r="1665" spans="1:9" x14ac:dyDescent="0.25">
      <c r="A1665" s="3">
        <v>42593</v>
      </c>
      <c r="B1665" s="4" t="s">
        <v>0</v>
      </c>
      <c r="C1665" s="4">
        <v>784.84997599999997</v>
      </c>
      <c r="D1665" s="6">
        <f t="shared" si="150"/>
        <v>2.1662716204872321E-4</v>
      </c>
      <c r="E1665" s="4">
        <f t="shared" si="151"/>
        <v>1.0424237140725661E-3</v>
      </c>
      <c r="F1665" s="6">
        <f t="shared" si="152"/>
        <v>-8.2579655202384282E-4</v>
      </c>
      <c r="G1665" s="4">
        <f t="shared" si="155"/>
        <v>1.4389750948213048E-2</v>
      </c>
      <c r="H1665" s="4">
        <f t="shared" si="153"/>
        <v>-5.7387827975326572E-2</v>
      </c>
      <c r="I1665" s="4">
        <f t="shared" si="154"/>
        <v>-0.92058521460453546</v>
      </c>
    </row>
    <row r="1666" spans="1:9" x14ac:dyDescent="0.25">
      <c r="A1666" s="3">
        <v>42594</v>
      </c>
      <c r="B1666" s="4" t="s">
        <v>0</v>
      </c>
      <c r="C1666" s="4">
        <v>783.21997099999999</v>
      </c>
      <c r="D1666" s="6">
        <f t="shared" si="150"/>
        <v>-2.0768364016615359E-3</v>
      </c>
      <c r="E1666" s="4">
        <f t="shared" si="151"/>
        <v>1.1840883229428676E-3</v>
      </c>
      <c r="F1666" s="6">
        <f t="shared" si="152"/>
        <v>-3.2609247246044035E-3</v>
      </c>
      <c r="G1666" s="4">
        <f t="shared" si="155"/>
        <v>7.671517922791346E-3</v>
      </c>
      <c r="H1666" s="4">
        <f t="shared" si="153"/>
        <v>-0.42506903554464859</v>
      </c>
      <c r="I1666" s="4">
        <f t="shared" si="154"/>
        <v>-1.0092803756941016</v>
      </c>
    </row>
    <row r="1667" spans="1:9" x14ac:dyDescent="0.25">
      <c r="A1667" s="3">
        <v>42597</v>
      </c>
      <c r="B1667" s="4" t="s">
        <v>0</v>
      </c>
      <c r="C1667" s="4">
        <v>782.44000200000005</v>
      </c>
      <c r="D1667" s="6">
        <f t="shared" si="150"/>
        <v>-9.958492235637047E-4</v>
      </c>
      <c r="E1667" s="4">
        <f t="shared" si="151"/>
        <v>2.4677317858298308E-4</v>
      </c>
      <c r="F1667" s="6">
        <f t="shared" si="152"/>
        <v>-1.2426224021466878E-3</v>
      </c>
      <c r="G1667" s="4">
        <f t="shared" si="155"/>
        <v>1.5712859052532214E-2</v>
      </c>
      <c r="H1667" s="4">
        <f t="shared" si="153"/>
        <v>-7.9083150812482614E-2</v>
      </c>
      <c r="I1667" s="4">
        <f t="shared" si="154"/>
        <v>-0.92206560557588757</v>
      </c>
    </row>
    <row r="1668" spans="1:9" x14ac:dyDescent="0.25">
      <c r="A1668" s="3">
        <v>42598</v>
      </c>
      <c r="B1668" s="4" t="s">
        <v>0</v>
      </c>
      <c r="C1668" s="4">
        <v>777.14001499999995</v>
      </c>
      <c r="D1668" s="6">
        <f t="shared" ref="D1668:D1731" si="156">(C1668-C1667)/C1667</f>
        <v>-6.77366569507281E-3</v>
      </c>
      <c r="E1668" s="4">
        <f t="shared" si="151"/>
        <v>-7.2760876345332696E-4</v>
      </c>
      <c r="F1668" s="6">
        <f t="shared" si="152"/>
        <v>-6.0460569316194831E-3</v>
      </c>
      <c r="G1668" s="4">
        <f t="shared" si="155"/>
        <v>8.2556204946739424E-3</v>
      </c>
      <c r="H1668" s="4">
        <f t="shared" si="153"/>
        <v>-0.7323564516464941</v>
      </c>
      <c r="I1668" s="4">
        <f t="shared" si="154"/>
        <v>-1.1871115193387944</v>
      </c>
    </row>
    <row r="1669" spans="1:9" x14ac:dyDescent="0.25">
      <c r="A1669" s="3">
        <v>42599</v>
      </c>
      <c r="B1669" s="4" t="s">
        <v>0</v>
      </c>
      <c r="C1669" s="4">
        <v>779.90997300000004</v>
      </c>
      <c r="D1669" s="6">
        <f t="shared" si="156"/>
        <v>3.5642972264143262E-3</v>
      </c>
      <c r="E1669" s="4">
        <f t="shared" si="151"/>
        <v>-1.0168636781355115E-3</v>
      </c>
      <c r="F1669" s="6">
        <f t="shared" si="152"/>
        <v>4.5811609045498377E-3</v>
      </c>
      <c r="G1669" s="4">
        <f t="shared" si="155"/>
        <v>2.5856745192681534E-2</v>
      </c>
      <c r="H1669" s="4">
        <f t="shared" si="153"/>
        <v>0.17717469350498471</v>
      </c>
      <c r="I1669" s="4">
        <f t="shared" si="154"/>
        <v>-0.93463396921396535</v>
      </c>
    </row>
    <row r="1670" spans="1:9" x14ac:dyDescent="0.25">
      <c r="A1670" s="3">
        <v>42600</v>
      </c>
      <c r="B1670" s="4" t="s">
        <v>0</v>
      </c>
      <c r="C1670" s="4">
        <v>777.5</v>
      </c>
      <c r="D1670" s="6">
        <f t="shared" si="156"/>
        <v>-3.0900656273567567E-3</v>
      </c>
      <c r="E1670" s="4">
        <f t="shared" si="151"/>
        <v>-2.8943413608093914E-3</v>
      </c>
      <c r="F1670" s="6">
        <f t="shared" si="152"/>
        <v>-1.9572426654736533E-4</v>
      </c>
      <c r="G1670" s="4">
        <f t="shared" si="155"/>
        <v>1.2621815912987992E-2</v>
      </c>
      <c r="H1670" s="4">
        <f t="shared" si="153"/>
        <v>-1.5506823098724077E-2</v>
      </c>
      <c r="I1670" s="4">
        <f t="shared" si="154"/>
        <v>-0.9190587639859803</v>
      </c>
    </row>
    <row r="1671" spans="1:9" x14ac:dyDescent="0.25">
      <c r="A1671" s="3">
        <v>42601</v>
      </c>
      <c r="B1671" s="4" t="s">
        <v>0</v>
      </c>
      <c r="C1671" s="4">
        <v>775.419983</v>
      </c>
      <c r="D1671" s="6">
        <f t="shared" si="156"/>
        <v>-2.675263022508036E-3</v>
      </c>
      <c r="E1671" s="4">
        <f t="shared" ref="E1671:E1734" si="157">+$M$16*D1670+$M$17*D1669+$M$18*D1668</f>
        <v>-7.1195515140039332E-4</v>
      </c>
      <c r="F1671" s="6">
        <f t="shared" ref="F1671:F1734" si="158">D1671-E1671</f>
        <v>-1.9633078711076427E-3</v>
      </c>
      <c r="G1671" s="4">
        <f t="shared" si="155"/>
        <v>6.9487608583552645E-3</v>
      </c>
      <c r="H1671" s="4">
        <f t="shared" ref="H1671:H1734" si="159">F1671/G1671</f>
        <v>-0.28254071641376755</v>
      </c>
      <c r="I1671" s="4">
        <f t="shared" ref="I1671:I1734" si="160">LN(_xlfn.NORM.DIST(H1671,0,1,FALSE))</f>
        <v>-0.95885316142047516</v>
      </c>
    </row>
    <row r="1672" spans="1:9" x14ac:dyDescent="0.25">
      <c r="A1672" s="3">
        <v>42604</v>
      </c>
      <c r="B1672" s="4" t="s">
        <v>0</v>
      </c>
      <c r="C1672" s="4">
        <v>772.15002400000003</v>
      </c>
      <c r="D1672" s="6">
        <f t="shared" si="156"/>
        <v>-4.2170166770127866E-3</v>
      </c>
      <c r="E1672" s="4">
        <f t="shared" si="157"/>
        <v>-8.9747464554853834E-5</v>
      </c>
      <c r="F1672" s="6">
        <f t="shared" si="158"/>
        <v>-4.1272692124579326E-3</v>
      </c>
      <c r="G1672" s="4">
        <f t="shared" ref="G1672:G1735" si="161">SQRT($M$12 + $M$13 *H1671^2+$M$14*G1671^2)</f>
        <v>1.1232289951424567E-2</v>
      </c>
      <c r="H1672" s="4">
        <f t="shared" si="159"/>
        <v>-0.36744681897518855</v>
      </c>
      <c r="I1672" s="4">
        <f t="shared" si="160"/>
        <v>-0.98644711559216502</v>
      </c>
    </row>
    <row r="1673" spans="1:9" x14ac:dyDescent="0.25">
      <c r="A1673" s="3">
        <v>42605</v>
      </c>
      <c r="B1673" s="4" t="s">
        <v>0</v>
      </c>
      <c r="C1673" s="4">
        <v>772.080017</v>
      </c>
      <c r="D1673" s="6">
        <f t="shared" si="156"/>
        <v>-9.0665023407462004E-5</v>
      </c>
      <c r="E1673" s="4">
        <f t="shared" si="157"/>
        <v>-1.9691212289962776E-3</v>
      </c>
      <c r="F1673" s="6">
        <f t="shared" si="158"/>
        <v>1.8784562055888156E-3</v>
      </c>
      <c r="G1673" s="4">
        <f t="shared" si="161"/>
        <v>1.4238477000365179E-2</v>
      </c>
      <c r="H1673" s="4">
        <f t="shared" si="159"/>
        <v>0.13192816939203808</v>
      </c>
      <c r="I1673" s="4">
        <f t="shared" si="160"/>
        <v>-0.92764105414423981</v>
      </c>
    </row>
    <row r="1674" spans="1:9" x14ac:dyDescent="0.25">
      <c r="A1674" s="3">
        <v>42606</v>
      </c>
      <c r="B1674" s="4" t="s">
        <v>0</v>
      </c>
      <c r="C1674" s="4">
        <v>769.64001499999995</v>
      </c>
      <c r="D1674" s="6">
        <f t="shared" si="156"/>
        <v>-3.1602967908442182E-3</v>
      </c>
      <c r="E1674" s="4">
        <f t="shared" si="157"/>
        <v>-2.4313848662411717E-3</v>
      </c>
      <c r="F1674" s="6">
        <f t="shared" si="158"/>
        <v>-7.2891192460304653E-4</v>
      </c>
      <c r="G1674" s="4">
        <f t="shared" si="161"/>
        <v>8.6543793328936799E-3</v>
      </c>
      <c r="H1674" s="4">
        <f t="shared" si="159"/>
        <v>-8.4224633167232277E-2</v>
      </c>
      <c r="I1674" s="4">
        <f t="shared" si="160"/>
        <v>-0.92248542762075014</v>
      </c>
    </row>
    <row r="1675" spans="1:9" x14ac:dyDescent="0.25">
      <c r="A1675" s="3">
        <v>42607</v>
      </c>
      <c r="B1675" s="4" t="s">
        <v>0</v>
      </c>
      <c r="C1675" s="4">
        <v>769.40997300000004</v>
      </c>
      <c r="D1675" s="6">
        <f t="shared" si="156"/>
        <v>-2.9889558172194587E-4</v>
      </c>
      <c r="E1675" s="4">
        <f t="shared" si="157"/>
        <v>-1.3261932464475803E-3</v>
      </c>
      <c r="F1675" s="6">
        <f t="shared" si="158"/>
        <v>1.0272976647256343E-3</v>
      </c>
      <c r="G1675" s="4">
        <f t="shared" si="161"/>
        <v>6.6395568777814591E-3</v>
      </c>
      <c r="H1675" s="4">
        <f t="shared" si="159"/>
        <v>0.15472382926086106</v>
      </c>
      <c r="I1675" s="4">
        <f t="shared" si="160"/>
        <v>-0.93090826487524481</v>
      </c>
    </row>
    <row r="1676" spans="1:9" x14ac:dyDescent="0.25">
      <c r="A1676" s="3">
        <v>42608</v>
      </c>
      <c r="B1676" s="4" t="s">
        <v>0</v>
      </c>
      <c r="C1676" s="4">
        <v>769.53997800000002</v>
      </c>
      <c r="D1676" s="6">
        <f t="shared" si="156"/>
        <v>1.6896713658789918E-4</v>
      </c>
      <c r="E1676" s="4">
        <f t="shared" si="157"/>
        <v>-1.2358881253082814E-3</v>
      </c>
      <c r="F1676" s="6">
        <f t="shared" si="158"/>
        <v>1.4048552618961805E-3</v>
      </c>
      <c r="G1676" s="4">
        <f t="shared" si="161"/>
        <v>7.7137227671103441E-3</v>
      </c>
      <c r="H1676" s="4">
        <f t="shared" si="159"/>
        <v>0.18212415772656251</v>
      </c>
      <c r="I1676" s="4">
        <f t="shared" si="160"/>
        <v>-0.93552313761847761</v>
      </c>
    </row>
    <row r="1677" spans="1:9" x14ac:dyDescent="0.25">
      <c r="A1677" s="3">
        <v>42611</v>
      </c>
      <c r="B1677" s="4" t="s">
        <v>0</v>
      </c>
      <c r="C1677" s="4">
        <v>772.15002400000003</v>
      </c>
      <c r="D1677" s="6">
        <f t="shared" si="156"/>
        <v>3.3916964350356482E-3</v>
      </c>
      <c r="E1677" s="4">
        <f t="shared" si="157"/>
        <v>-1.0821060728034653E-3</v>
      </c>
      <c r="F1677" s="6">
        <f t="shared" si="158"/>
        <v>4.4738025078391135E-3</v>
      </c>
      <c r="G1677" s="4">
        <f t="shared" si="161"/>
        <v>8.5238471752969603E-3</v>
      </c>
      <c r="H1677" s="4">
        <f t="shared" si="159"/>
        <v>0.52485719368651773</v>
      </c>
      <c r="I1677" s="4">
        <f t="shared" si="160"/>
        <v>-1.056676070086916</v>
      </c>
    </row>
    <row r="1678" spans="1:9" x14ac:dyDescent="0.25">
      <c r="A1678" s="3">
        <v>42612</v>
      </c>
      <c r="B1678" s="4" t="s">
        <v>0</v>
      </c>
      <c r="C1678" s="4">
        <v>769.09002699999996</v>
      </c>
      <c r="D1678" s="6">
        <f t="shared" si="156"/>
        <v>-3.9629565562249681E-3</v>
      </c>
      <c r="E1678" s="4">
        <f t="shared" si="157"/>
        <v>-2.6876973983053381E-5</v>
      </c>
      <c r="F1678" s="6">
        <f t="shared" si="158"/>
        <v>-3.9360795822419147E-3</v>
      </c>
      <c r="G1678" s="4">
        <f t="shared" si="161"/>
        <v>1.8998155993737446E-2</v>
      </c>
      <c r="H1678" s="4">
        <f t="shared" si="159"/>
        <v>-0.20718219092102436</v>
      </c>
      <c r="I1678" s="4">
        <f t="shared" si="160"/>
        <v>-0.94040076332209055</v>
      </c>
    </row>
    <row r="1679" spans="1:9" x14ac:dyDescent="0.25">
      <c r="A1679" s="3">
        <v>42613</v>
      </c>
      <c r="B1679" s="4" t="s">
        <v>0</v>
      </c>
      <c r="C1679" s="4">
        <v>767.04998799999998</v>
      </c>
      <c r="D1679" s="6">
        <f t="shared" si="156"/>
        <v>-2.6525360209877992E-3</v>
      </c>
      <c r="E1679" s="4">
        <f t="shared" si="157"/>
        <v>1.3482423578906103E-3</v>
      </c>
      <c r="F1679" s="6">
        <f t="shared" si="158"/>
        <v>-4.0007783788784095E-3</v>
      </c>
      <c r="G1679" s="4">
        <f t="shared" si="161"/>
        <v>1.1318568482117606E-2</v>
      </c>
      <c r="H1679" s="4">
        <f t="shared" si="159"/>
        <v>-0.35347035141407729</v>
      </c>
      <c r="I1679" s="4">
        <f t="shared" si="160"/>
        <v>-0.98140917786906834</v>
      </c>
    </row>
    <row r="1680" spans="1:9" x14ac:dyDescent="0.25">
      <c r="A1680" s="3">
        <v>42614</v>
      </c>
      <c r="B1680" s="4" t="s">
        <v>0</v>
      </c>
      <c r="C1680" s="4">
        <v>768.78002900000001</v>
      </c>
      <c r="D1680" s="6">
        <f t="shared" si="156"/>
        <v>2.2554475289295337E-3</v>
      </c>
      <c r="E1680" s="4">
        <f t="shared" si="157"/>
        <v>-4.7629444518815993E-4</v>
      </c>
      <c r="F1680" s="6">
        <f t="shared" si="158"/>
        <v>2.7317419741176938E-3</v>
      </c>
      <c r="G1680" s="4">
        <f t="shared" si="161"/>
        <v>1.382425718922797E-2</v>
      </c>
      <c r="H1680" s="4">
        <f t="shared" si="159"/>
        <v>0.19760497339750743</v>
      </c>
      <c r="I1680" s="4">
        <f t="shared" si="160"/>
        <v>-0.9384623959603875</v>
      </c>
    </row>
    <row r="1681" spans="1:9" x14ac:dyDescent="0.25">
      <c r="A1681" s="3">
        <v>42615</v>
      </c>
      <c r="B1681" s="4" t="s">
        <v>0</v>
      </c>
      <c r="C1681" s="4">
        <v>771.46002199999998</v>
      </c>
      <c r="D1681" s="6">
        <f t="shared" si="156"/>
        <v>3.4860335842568663E-3</v>
      </c>
      <c r="E1681" s="4">
        <f t="shared" si="157"/>
        <v>-2.2276284963640104E-3</v>
      </c>
      <c r="F1681" s="6">
        <f t="shared" si="158"/>
        <v>5.7136620806208767E-3</v>
      </c>
      <c r="G1681" s="4">
        <f t="shared" si="161"/>
        <v>9.9388978227830053E-3</v>
      </c>
      <c r="H1681" s="4">
        <f t="shared" si="159"/>
        <v>0.57487884295614844</v>
      </c>
      <c r="I1681" s="4">
        <f t="shared" si="160"/>
        <v>-1.0841813752439726</v>
      </c>
    </row>
    <row r="1682" spans="1:9" x14ac:dyDescent="0.25">
      <c r="A1682" s="3">
        <v>42619</v>
      </c>
      <c r="B1682" s="4" t="s">
        <v>0</v>
      </c>
      <c r="C1682" s="4">
        <v>780.080017</v>
      </c>
      <c r="D1682" s="6">
        <f t="shared" si="156"/>
        <v>1.1173612052705976E-2</v>
      </c>
      <c r="E1682" s="4">
        <f t="shared" si="157"/>
        <v>4.9935412827769123E-5</v>
      </c>
      <c r="F1682" s="6">
        <f t="shared" si="158"/>
        <v>1.1123676639878207E-2</v>
      </c>
      <c r="G1682" s="4">
        <f t="shared" si="161"/>
        <v>2.0730378704666187E-2</v>
      </c>
      <c r="H1682" s="4">
        <f t="shared" si="159"/>
        <v>0.53658820219113434</v>
      </c>
      <c r="I1682" s="4">
        <f t="shared" si="160"/>
        <v>-1.0629019825700297</v>
      </c>
    </row>
    <row r="1683" spans="1:9" x14ac:dyDescent="0.25">
      <c r="A1683" s="3">
        <v>42620</v>
      </c>
      <c r="B1683" s="4" t="s">
        <v>0</v>
      </c>
      <c r="C1683" s="4">
        <v>780.34997599999997</v>
      </c>
      <c r="D1683" s="6">
        <f t="shared" si="156"/>
        <v>3.4606578058257276E-4</v>
      </c>
      <c r="E1683" s="4">
        <f t="shared" si="157"/>
        <v>2.0235974586426701E-3</v>
      </c>
      <c r="F1683" s="6">
        <f t="shared" si="158"/>
        <v>-1.6775316780600973E-3</v>
      </c>
      <c r="G1683" s="4">
        <f t="shared" si="161"/>
        <v>2.0680482580726703E-2</v>
      </c>
      <c r="H1683" s="4">
        <f t="shared" si="159"/>
        <v>-8.1116660189713502E-2</v>
      </c>
      <c r="I1683" s="4">
        <f t="shared" si="160"/>
        <v>-0.92222848948483938</v>
      </c>
    </row>
    <row r="1684" spans="1:9" x14ac:dyDescent="0.25">
      <c r="A1684" s="3">
        <v>42621</v>
      </c>
      <c r="B1684" s="4" t="s">
        <v>0</v>
      </c>
      <c r="C1684" s="4">
        <v>775.32000700000003</v>
      </c>
      <c r="D1684" s="6">
        <f t="shared" si="156"/>
        <v>-6.445786063559689E-3</v>
      </c>
      <c r="E1684" s="4">
        <f t="shared" si="157"/>
        <v>5.3390520870599161E-3</v>
      </c>
      <c r="F1684" s="6">
        <f t="shared" si="158"/>
        <v>-1.1784838150619606E-2</v>
      </c>
      <c r="G1684" s="4">
        <f t="shared" si="161"/>
        <v>9.7409148221727047E-3</v>
      </c>
      <c r="H1684" s="4">
        <f t="shared" si="159"/>
        <v>-1.2098286830097755</v>
      </c>
      <c r="I1684" s="4">
        <f t="shared" si="160"/>
        <v>-1.6507812543212568</v>
      </c>
    </row>
    <row r="1685" spans="1:9" x14ac:dyDescent="0.25">
      <c r="A1685" s="3">
        <v>42622</v>
      </c>
      <c r="B1685" s="4" t="s">
        <v>0</v>
      </c>
      <c r="C1685" s="4">
        <v>759.65997300000004</v>
      </c>
      <c r="D1685" s="6">
        <f t="shared" si="156"/>
        <v>-2.0198155417908616E-2</v>
      </c>
      <c r="E1685" s="4">
        <f t="shared" si="157"/>
        <v>3.5541082476242642E-3</v>
      </c>
      <c r="F1685" s="6">
        <f t="shared" si="158"/>
        <v>-2.3752263665532881E-2</v>
      </c>
      <c r="G1685" s="4">
        <f t="shared" si="161"/>
        <v>4.2052302840308621E-2</v>
      </c>
      <c r="H1685" s="4">
        <f t="shared" si="159"/>
        <v>-0.56482670534669255</v>
      </c>
      <c r="I1685" s="4">
        <f t="shared" si="160"/>
        <v>-1.0784531367410723</v>
      </c>
    </row>
    <row r="1686" spans="1:9" x14ac:dyDescent="0.25">
      <c r="A1686" s="3">
        <v>42625</v>
      </c>
      <c r="B1686" s="4" t="s">
        <v>0</v>
      </c>
      <c r="C1686" s="4">
        <v>769.02002000000005</v>
      </c>
      <c r="D1686" s="6">
        <f t="shared" si="156"/>
        <v>1.232136394265439E-2</v>
      </c>
      <c r="E1686" s="4">
        <f t="shared" si="157"/>
        <v>-2.3585106058083812E-3</v>
      </c>
      <c r="F1686" s="6">
        <f t="shared" si="158"/>
        <v>1.4679874548462771E-2</v>
      </c>
      <c r="G1686" s="4">
        <f t="shared" si="161"/>
        <v>2.5680960965883817E-2</v>
      </c>
      <c r="H1686" s="4">
        <f t="shared" si="159"/>
        <v>0.57162481450614044</v>
      </c>
      <c r="I1686" s="4">
        <f t="shared" si="160"/>
        <v>-1.0823159974842624</v>
      </c>
    </row>
    <row r="1687" spans="1:9" x14ac:dyDescent="0.25">
      <c r="A1687" s="3">
        <v>42626</v>
      </c>
      <c r="B1687" s="4" t="s">
        <v>0</v>
      </c>
      <c r="C1687" s="4">
        <v>759.69000200000005</v>
      </c>
      <c r="D1687" s="6">
        <f t="shared" si="156"/>
        <v>-1.213234734773224E-2</v>
      </c>
      <c r="E1687" s="4">
        <f t="shared" si="157"/>
        <v>-9.6951248541976495E-3</v>
      </c>
      <c r="F1687" s="6">
        <f t="shared" si="158"/>
        <v>-2.437222493534591E-3</v>
      </c>
      <c r="G1687" s="4">
        <f t="shared" si="161"/>
        <v>2.2517798754532675E-2</v>
      </c>
      <c r="H1687" s="4">
        <f t="shared" si="159"/>
        <v>-0.10823537949258896</v>
      </c>
      <c r="I1687" s="4">
        <f t="shared" si="160"/>
        <v>-0.92479598189162504</v>
      </c>
    </row>
    <row r="1688" spans="1:9" x14ac:dyDescent="0.25">
      <c r="A1688" s="3">
        <v>42627</v>
      </c>
      <c r="B1688" s="4" t="s">
        <v>0</v>
      </c>
      <c r="C1688" s="4">
        <v>762.48999000000003</v>
      </c>
      <c r="D1688" s="6">
        <f t="shared" si="156"/>
        <v>3.6856981040010906E-3</v>
      </c>
      <c r="E1688" s="4">
        <f t="shared" si="157"/>
        <v>-1.4757710631413097E-3</v>
      </c>
      <c r="F1688" s="6">
        <f t="shared" si="158"/>
        <v>5.1614691671424007E-3</v>
      </c>
      <c r="G1688" s="4">
        <f t="shared" si="161"/>
        <v>1.0607538679607058E-2</v>
      </c>
      <c r="H1688" s="4">
        <f t="shared" si="159"/>
        <v>0.48658499610897488</v>
      </c>
      <c r="I1688" s="4">
        <f t="shared" si="160"/>
        <v>-1.0373210124238581</v>
      </c>
    </row>
    <row r="1689" spans="1:9" x14ac:dyDescent="0.25">
      <c r="A1689" s="3">
        <v>42628</v>
      </c>
      <c r="B1689" s="4" t="s">
        <v>0</v>
      </c>
      <c r="C1689" s="4">
        <v>771.76000999999997</v>
      </c>
      <c r="D1689" s="6">
        <f t="shared" si="156"/>
        <v>1.2157562881579509E-2</v>
      </c>
      <c r="E1689" s="4">
        <f t="shared" si="157"/>
        <v>-8.6442556880146149E-4</v>
      </c>
      <c r="F1689" s="6">
        <f t="shared" si="158"/>
        <v>1.302198845038097E-2</v>
      </c>
      <c r="G1689" s="4">
        <f t="shared" si="161"/>
        <v>1.7916233906420588E-2</v>
      </c>
      <c r="H1689" s="4">
        <f t="shared" si="159"/>
        <v>0.72682621349983145</v>
      </c>
      <c r="I1689" s="4">
        <f t="shared" si="160"/>
        <v>-1.1830767055199238</v>
      </c>
    </row>
    <row r="1690" spans="1:9" x14ac:dyDescent="0.25">
      <c r="A1690" s="3">
        <v>42629</v>
      </c>
      <c r="B1690" s="4" t="s">
        <v>0</v>
      </c>
      <c r="C1690" s="4">
        <v>768.88000499999998</v>
      </c>
      <c r="D1690" s="6">
        <f t="shared" si="156"/>
        <v>-3.7317365018692573E-3</v>
      </c>
      <c r="E1690" s="4">
        <f t="shared" si="157"/>
        <v>-2.3063492744326911E-3</v>
      </c>
      <c r="F1690" s="6">
        <f t="shared" si="158"/>
        <v>-1.4253872274365663E-3</v>
      </c>
      <c r="G1690" s="4">
        <f t="shared" si="161"/>
        <v>2.6379514996522056E-2</v>
      </c>
      <c r="H1690" s="4">
        <f t="shared" si="159"/>
        <v>-5.4033867856345848E-2</v>
      </c>
      <c r="I1690" s="4">
        <f t="shared" si="160"/>
        <v>-0.92039836264243113</v>
      </c>
    </row>
    <row r="1691" spans="1:9" x14ac:dyDescent="0.25">
      <c r="A1691" s="3">
        <v>42632</v>
      </c>
      <c r="B1691" s="4" t="s">
        <v>0</v>
      </c>
      <c r="C1691" s="4">
        <v>765.70001200000002</v>
      </c>
      <c r="D1691" s="6">
        <f t="shared" si="156"/>
        <v>-4.1358768329525846E-3</v>
      </c>
      <c r="E1691" s="4">
        <f t="shared" si="157"/>
        <v>5.7762621839390141E-3</v>
      </c>
      <c r="F1691" s="6">
        <f t="shared" si="158"/>
        <v>-9.9121390168915996E-3</v>
      </c>
      <c r="G1691" s="4">
        <f t="shared" si="161"/>
        <v>1.1386057979603887E-2</v>
      </c>
      <c r="H1691" s="4">
        <f t="shared" si="159"/>
        <v>-0.87055054827996192</v>
      </c>
      <c r="I1691" s="4">
        <f t="shared" si="160"/>
        <v>-1.2978676617599438</v>
      </c>
    </row>
    <row r="1692" spans="1:9" x14ac:dyDescent="0.25">
      <c r="A1692" s="3">
        <v>42633</v>
      </c>
      <c r="B1692" s="4" t="s">
        <v>0</v>
      </c>
      <c r="C1692" s="4">
        <v>771.40997300000004</v>
      </c>
      <c r="D1692" s="6">
        <f t="shared" si="156"/>
        <v>7.4571776289850981E-3</v>
      </c>
      <c r="E1692" s="4">
        <f t="shared" si="157"/>
        <v>2.2966324995968377E-3</v>
      </c>
      <c r="F1692" s="6">
        <f t="shared" si="158"/>
        <v>5.1605451293882604E-3</v>
      </c>
      <c r="G1692" s="4">
        <f t="shared" si="161"/>
        <v>3.0648239538597848E-2</v>
      </c>
      <c r="H1692" s="4">
        <f t="shared" si="159"/>
        <v>0.16837982236758367</v>
      </c>
      <c r="I1692" s="4">
        <f t="shared" si="160"/>
        <v>-0.93311441549494223</v>
      </c>
    </row>
    <row r="1693" spans="1:9" x14ac:dyDescent="0.25">
      <c r="A1693" s="3">
        <v>42634</v>
      </c>
      <c r="B1693" s="4" t="s">
        <v>0</v>
      </c>
      <c r="C1693" s="4">
        <v>776.21997099999999</v>
      </c>
      <c r="D1693" s="6">
        <f t="shared" si="156"/>
        <v>6.2353329206957893E-3</v>
      </c>
      <c r="E1693" s="4">
        <f t="shared" si="157"/>
        <v>-2.7237631723636704E-3</v>
      </c>
      <c r="F1693" s="6">
        <f t="shared" si="158"/>
        <v>8.9590960930594592E-3</v>
      </c>
      <c r="G1693" s="4">
        <f t="shared" si="161"/>
        <v>1.3970409464417462E-2</v>
      </c>
      <c r="H1693" s="4">
        <f t="shared" si="159"/>
        <v>0.64129087381999905</v>
      </c>
      <c r="I1693" s="4">
        <f t="shared" si="160"/>
        <v>-1.1245655256270817</v>
      </c>
    </row>
    <row r="1694" spans="1:9" x14ac:dyDescent="0.25">
      <c r="A1694" s="3">
        <v>42635</v>
      </c>
      <c r="B1694" s="4" t="s">
        <v>0</v>
      </c>
      <c r="C1694" s="4">
        <v>787.21002199999998</v>
      </c>
      <c r="D1694" s="6">
        <f t="shared" si="156"/>
        <v>1.4158423398771318E-2</v>
      </c>
      <c r="E1694" s="4">
        <f t="shared" si="157"/>
        <v>1.5842273050211792E-3</v>
      </c>
      <c r="F1694" s="6">
        <f t="shared" si="158"/>
        <v>1.2574196093750139E-2</v>
      </c>
      <c r="G1694" s="4">
        <f t="shared" si="161"/>
        <v>2.3221691877349415E-2</v>
      </c>
      <c r="H1694" s="4">
        <f t="shared" si="159"/>
        <v>0.54148492539491011</v>
      </c>
      <c r="I1694" s="4">
        <f t="shared" si="160"/>
        <v>-1.0655414954196383</v>
      </c>
    </row>
    <row r="1695" spans="1:9" x14ac:dyDescent="0.25">
      <c r="A1695" s="3">
        <v>42636</v>
      </c>
      <c r="B1695" s="4" t="s">
        <v>0</v>
      </c>
      <c r="C1695" s="4">
        <v>786.90002400000003</v>
      </c>
      <c r="D1695" s="6">
        <f t="shared" si="156"/>
        <v>-3.9379325889724319E-4</v>
      </c>
      <c r="E1695" s="4">
        <f t="shared" si="157"/>
        <v>4.6676985035197151E-3</v>
      </c>
      <c r="F1695" s="6">
        <f t="shared" si="158"/>
        <v>-5.0614917624169581E-3</v>
      </c>
      <c r="G1695" s="4">
        <f t="shared" si="161"/>
        <v>2.1210318736909026E-2</v>
      </c>
      <c r="H1695" s="4">
        <f t="shared" si="159"/>
        <v>-0.23863346068483307</v>
      </c>
      <c r="I1695" s="4">
        <f t="shared" si="160"/>
        <v>-0.94741149748388254</v>
      </c>
    </row>
    <row r="1696" spans="1:9" x14ac:dyDescent="0.25">
      <c r="A1696" s="3">
        <v>42639</v>
      </c>
      <c r="B1696" s="4" t="s">
        <v>0</v>
      </c>
      <c r="C1696" s="4">
        <v>774.21002199999998</v>
      </c>
      <c r="D1696" s="6">
        <f t="shared" si="156"/>
        <v>-1.6126574676531016E-2</v>
      </c>
      <c r="E1696" s="4">
        <f t="shared" si="157"/>
        <v>7.3220476382584694E-3</v>
      </c>
      <c r="F1696" s="6">
        <f t="shared" si="158"/>
        <v>-2.3448622314789485E-2</v>
      </c>
      <c r="G1696" s="4">
        <f t="shared" si="161"/>
        <v>1.2555570462850532E-2</v>
      </c>
      <c r="H1696" s="4">
        <f t="shared" si="159"/>
        <v>-1.867587170504865</v>
      </c>
      <c r="I1696" s="4">
        <f t="shared" si="160"/>
        <v>-2.6628794529218562</v>
      </c>
    </row>
    <row r="1697" spans="1:9" x14ac:dyDescent="0.25">
      <c r="A1697" s="3">
        <v>42640</v>
      </c>
      <c r="B1697" s="4" t="s">
        <v>0</v>
      </c>
      <c r="C1697" s="4">
        <v>783.01000999999997</v>
      </c>
      <c r="D1697" s="6">
        <f t="shared" si="156"/>
        <v>1.1366409307473398E-2</v>
      </c>
      <c r="E1697" s="4">
        <f t="shared" si="157"/>
        <v>4.1851869735369893E-3</v>
      </c>
      <c r="F1697" s="6">
        <f t="shared" si="158"/>
        <v>7.181222333936409E-3</v>
      </c>
      <c r="G1697" s="4">
        <f t="shared" si="161"/>
        <v>6.4573496342372416E-2</v>
      </c>
      <c r="H1697" s="4">
        <f t="shared" si="159"/>
        <v>0.11121005893596271</v>
      </c>
      <c r="I1697" s="4">
        <f t="shared" si="160"/>
        <v>-0.92512237180894286</v>
      </c>
    </row>
    <row r="1698" spans="1:9" x14ac:dyDescent="0.25">
      <c r="A1698" s="3">
        <v>42641</v>
      </c>
      <c r="B1698" s="4" t="s">
        <v>0</v>
      </c>
      <c r="C1698" s="4">
        <v>781.55999799999995</v>
      </c>
      <c r="D1698" s="6">
        <f t="shared" si="156"/>
        <v>-1.8518435032522959E-3</v>
      </c>
      <c r="E1698" s="4">
        <f t="shared" si="157"/>
        <v>-6.2852270706006573E-3</v>
      </c>
      <c r="F1698" s="6">
        <f t="shared" si="158"/>
        <v>4.4333835673483618E-3</v>
      </c>
      <c r="G1698" s="4">
        <f t="shared" si="161"/>
        <v>2.5436812028248424E-2</v>
      </c>
      <c r="H1698" s="4">
        <f t="shared" si="159"/>
        <v>0.17429006285948656</v>
      </c>
      <c r="I1698" s="4">
        <f t="shared" si="160"/>
        <v>-0.93412704621045461</v>
      </c>
    </row>
    <row r="1699" spans="1:9" x14ac:dyDescent="0.25">
      <c r="A1699" s="3">
        <v>42642</v>
      </c>
      <c r="B1699" s="4" t="s">
        <v>0</v>
      </c>
      <c r="C1699" s="4">
        <v>775.01000999999997</v>
      </c>
      <c r="D1699" s="6">
        <f t="shared" si="156"/>
        <v>-8.3806592158776078E-3</v>
      </c>
      <c r="E1699" s="4">
        <f t="shared" si="157"/>
        <v>-5.9369415315842482E-4</v>
      </c>
      <c r="F1699" s="6">
        <f t="shared" si="158"/>
        <v>-7.786965062719183E-3</v>
      </c>
      <c r="G1699" s="4">
        <f t="shared" si="161"/>
        <v>1.2448823424986384E-2</v>
      </c>
      <c r="H1699" s="4">
        <f t="shared" si="159"/>
        <v>-0.62551815516073161</v>
      </c>
      <c r="I1699" s="4">
        <f t="shared" si="160"/>
        <v>-1.1145750144225153</v>
      </c>
    </row>
    <row r="1700" spans="1:9" x14ac:dyDescent="0.25">
      <c r="A1700" s="3">
        <v>42643</v>
      </c>
      <c r="B1700" s="4" t="s">
        <v>0</v>
      </c>
      <c r="C1700" s="4">
        <v>777.28997800000002</v>
      </c>
      <c r="D1700" s="6">
        <f t="shared" si="156"/>
        <v>2.9418561961542323E-3</v>
      </c>
      <c r="E1700" s="4">
        <f t="shared" si="157"/>
        <v>2.7728990951181955E-3</v>
      </c>
      <c r="F1700" s="6">
        <f t="shared" si="158"/>
        <v>1.689571010360367E-4</v>
      </c>
      <c r="G1700" s="4">
        <f t="shared" si="161"/>
        <v>2.2578207109215723E-2</v>
      </c>
      <c r="H1700" s="4">
        <f t="shared" si="159"/>
        <v>7.4831938700338019E-3</v>
      </c>
      <c r="I1700" s="4">
        <f t="shared" si="160"/>
        <v>-0.91896653229992098</v>
      </c>
    </row>
    <row r="1701" spans="1:9" x14ac:dyDescent="0.25">
      <c r="A1701" s="3">
        <v>42646</v>
      </c>
      <c r="B1701" s="4" t="s">
        <v>0</v>
      </c>
      <c r="C1701" s="4">
        <v>772.55999799999995</v>
      </c>
      <c r="D1701" s="6">
        <f t="shared" si="156"/>
        <v>-6.0852193311053708E-3</v>
      </c>
      <c r="E1701" s="4">
        <f t="shared" si="157"/>
        <v>-3.7708241766403485E-3</v>
      </c>
      <c r="F1701" s="6">
        <f t="shared" si="158"/>
        <v>-2.3143951544650223E-3</v>
      </c>
      <c r="G1701" s="4">
        <f t="shared" si="161"/>
        <v>9.9568251973485861E-3</v>
      </c>
      <c r="H1701" s="4">
        <f t="shared" si="159"/>
        <v>-0.23244308387389637</v>
      </c>
      <c r="I1701" s="4">
        <f t="shared" si="160"/>
        <v>-0.94595342682507633</v>
      </c>
    </row>
    <row r="1702" spans="1:9" x14ac:dyDescent="0.25">
      <c r="A1702" s="3">
        <v>42647</v>
      </c>
      <c r="B1702" s="4" t="s">
        <v>0</v>
      </c>
      <c r="C1702" s="4">
        <v>776.42999299999997</v>
      </c>
      <c r="D1702" s="6">
        <f t="shared" si="156"/>
        <v>5.0093132054709584E-3</v>
      </c>
      <c r="E1702" s="4">
        <f t="shared" si="157"/>
        <v>-1.4421066453172476E-3</v>
      </c>
      <c r="F1702" s="6">
        <f t="shared" si="158"/>
        <v>6.4514198507882063E-3</v>
      </c>
      <c r="G1702" s="4">
        <f t="shared" si="161"/>
        <v>1.0153079764844137E-2</v>
      </c>
      <c r="H1702" s="4">
        <f t="shared" si="159"/>
        <v>0.63541506618777599</v>
      </c>
      <c r="I1702" s="4">
        <f t="shared" si="160"/>
        <v>-1.1208146863738806</v>
      </c>
    </row>
    <row r="1703" spans="1:9" x14ac:dyDescent="0.25">
      <c r="A1703" s="3">
        <v>42648</v>
      </c>
      <c r="B1703" s="4" t="s">
        <v>0</v>
      </c>
      <c r="C1703" s="4">
        <v>776.46997099999999</v>
      </c>
      <c r="D1703" s="6">
        <f t="shared" si="156"/>
        <v>5.1489510143149723E-5</v>
      </c>
      <c r="E1703" s="4">
        <f t="shared" si="157"/>
        <v>-1.4252027276995373E-3</v>
      </c>
      <c r="F1703" s="6">
        <f t="shared" si="158"/>
        <v>1.4766922378426871E-3</v>
      </c>
      <c r="G1703" s="4">
        <f t="shared" si="161"/>
        <v>2.2736802457611404E-2</v>
      </c>
      <c r="H1703" s="4">
        <f t="shared" si="159"/>
        <v>6.4947225565059497E-2</v>
      </c>
      <c r="I1703" s="4">
        <f t="shared" si="160"/>
        <v>-0.92104760425897192</v>
      </c>
    </row>
    <row r="1704" spans="1:9" x14ac:dyDescent="0.25">
      <c r="A1704" s="3">
        <v>42649</v>
      </c>
      <c r="B1704" s="4" t="s">
        <v>0</v>
      </c>
      <c r="C1704" s="4">
        <v>776.85998500000005</v>
      </c>
      <c r="D1704" s="6">
        <f t="shared" si="156"/>
        <v>5.022911568592582E-4</v>
      </c>
      <c r="E1704" s="4">
        <f t="shared" si="157"/>
        <v>5.1345479372721806E-5</v>
      </c>
      <c r="F1704" s="6">
        <f t="shared" si="158"/>
        <v>4.5094567748653639E-4</v>
      </c>
      <c r="G1704" s="4">
        <f t="shared" si="161"/>
        <v>1.025204706786389E-2</v>
      </c>
      <c r="H1704" s="4">
        <f t="shared" si="159"/>
        <v>4.3985915642162102E-2</v>
      </c>
      <c r="I1704" s="4">
        <f t="shared" si="160"/>
        <v>-0.91990591359211238</v>
      </c>
    </row>
    <row r="1705" spans="1:9" x14ac:dyDescent="0.25">
      <c r="A1705" s="3">
        <v>42650</v>
      </c>
      <c r="B1705" s="4" t="s">
        <v>0</v>
      </c>
      <c r="C1705" s="4">
        <v>775.080017</v>
      </c>
      <c r="D1705" s="6">
        <f t="shared" si="156"/>
        <v>-2.2912339860059255E-3</v>
      </c>
      <c r="E1705" s="4">
        <f t="shared" si="157"/>
        <v>1.5538066659158969E-3</v>
      </c>
      <c r="F1705" s="6">
        <f t="shared" si="158"/>
        <v>-3.8450406519218222E-3</v>
      </c>
      <c r="G1705" s="4">
        <f t="shared" si="161"/>
        <v>6.5106477754074072E-3</v>
      </c>
      <c r="H1705" s="4">
        <f t="shared" si="159"/>
        <v>-0.59057727964422357</v>
      </c>
      <c r="I1705" s="4">
        <f t="shared" si="160"/>
        <v>-1.0933292948206585</v>
      </c>
    </row>
    <row r="1706" spans="1:9" x14ac:dyDescent="0.25">
      <c r="A1706" s="3">
        <v>42653</v>
      </c>
      <c r="B1706" s="4" t="s">
        <v>0</v>
      </c>
      <c r="C1706" s="4">
        <v>785.94000200000005</v>
      </c>
      <c r="D1706" s="6">
        <f t="shared" si="156"/>
        <v>1.4011437221713396E-2</v>
      </c>
      <c r="E1706" s="4">
        <f t="shared" si="157"/>
        <v>2.0773842164106533E-4</v>
      </c>
      <c r="F1706" s="6">
        <f t="shared" si="158"/>
        <v>1.3803698800072331E-2</v>
      </c>
      <c r="G1706" s="4">
        <f t="shared" si="161"/>
        <v>2.1051194790179025E-2</v>
      </c>
      <c r="H1706" s="4">
        <f t="shared" si="159"/>
        <v>0.65572044426248643</v>
      </c>
      <c r="I1706" s="4">
        <f t="shared" si="160"/>
        <v>-1.1339231837165689</v>
      </c>
    </row>
    <row r="1707" spans="1:9" x14ac:dyDescent="0.25">
      <c r="A1707" s="3">
        <v>42654</v>
      </c>
      <c r="B1707" s="4" t="s">
        <v>0</v>
      </c>
      <c r="C1707" s="4">
        <v>783.07000700000003</v>
      </c>
      <c r="D1707" s="6">
        <f t="shared" si="156"/>
        <v>-3.6516718740574002E-3</v>
      </c>
      <c r="E1707" s="4">
        <f t="shared" si="157"/>
        <v>-7.2178312600792527E-4</v>
      </c>
      <c r="F1707" s="6">
        <f t="shared" si="158"/>
        <v>-2.9298887480494751E-3</v>
      </c>
      <c r="G1707" s="4">
        <f t="shared" si="161"/>
        <v>2.4443841050997315E-2</v>
      </c>
      <c r="H1707" s="4">
        <f t="shared" si="159"/>
        <v>-0.1198620438554167</v>
      </c>
      <c r="I1707" s="4">
        <f t="shared" si="160"/>
        <v>-0.9261219879832715</v>
      </c>
    </row>
    <row r="1708" spans="1:9" x14ac:dyDescent="0.25">
      <c r="A1708" s="3">
        <v>42655</v>
      </c>
      <c r="B1708" s="4" t="s">
        <v>0</v>
      </c>
      <c r="C1708" s="4">
        <v>786.14001499999995</v>
      </c>
      <c r="D1708" s="6">
        <f t="shared" si="156"/>
        <v>3.9204770615099242E-3</v>
      </c>
      <c r="E1708" s="4">
        <f t="shared" si="157"/>
        <v>4.6545127425350885E-3</v>
      </c>
      <c r="F1708" s="6">
        <f t="shared" si="158"/>
        <v>-7.3403568102516428E-4</v>
      </c>
      <c r="G1708" s="4">
        <f t="shared" si="161"/>
        <v>1.1350539609555628E-2</v>
      </c>
      <c r="H1708" s="4">
        <f t="shared" si="159"/>
        <v>-6.4669672656549729E-2</v>
      </c>
      <c r="I1708" s="4">
        <f t="shared" si="160"/>
        <v>-0.92102961648542536</v>
      </c>
    </row>
    <row r="1709" spans="1:9" x14ac:dyDescent="0.25">
      <c r="A1709" s="3">
        <v>42656</v>
      </c>
      <c r="B1709" s="4" t="s">
        <v>0</v>
      </c>
      <c r="C1709" s="4">
        <v>778.19000200000005</v>
      </c>
      <c r="D1709" s="6">
        <f t="shared" si="156"/>
        <v>-1.011271891559915E-2</v>
      </c>
      <c r="E1709" s="4">
        <f t="shared" si="157"/>
        <v>2.8951537887109322E-3</v>
      </c>
      <c r="F1709" s="6">
        <f t="shared" si="158"/>
        <v>-1.3007872704310083E-2</v>
      </c>
      <c r="G1709" s="4">
        <f t="shared" si="161"/>
        <v>6.9643795761264683E-3</v>
      </c>
      <c r="H1709" s="4">
        <f t="shared" si="159"/>
        <v>-1.8677719331812981</v>
      </c>
      <c r="I1709" s="4">
        <f t="shared" si="160"/>
        <v>-2.6632245303945741</v>
      </c>
    </row>
    <row r="1710" spans="1:9" x14ac:dyDescent="0.25">
      <c r="A1710" s="3">
        <v>42657</v>
      </c>
      <c r="B1710" s="4" t="s">
        <v>0</v>
      </c>
      <c r="C1710" s="4">
        <v>778.53002900000001</v>
      </c>
      <c r="D1710" s="6">
        <f t="shared" si="156"/>
        <v>4.3694598893081592E-4</v>
      </c>
      <c r="E1710" s="4">
        <f t="shared" si="157"/>
        <v>3.801820570193664E-4</v>
      </c>
      <c r="F1710" s="6">
        <f t="shared" si="158"/>
        <v>5.6763931911449524E-5</v>
      </c>
      <c r="G1710" s="4">
        <f t="shared" si="161"/>
        <v>6.4456557487300586E-2</v>
      </c>
      <c r="H1710" s="4">
        <f t="shared" si="159"/>
        <v>8.8065410447390579E-4</v>
      </c>
      <c r="I1710" s="4">
        <f t="shared" si="160"/>
        <v>-0.91893892098049867</v>
      </c>
    </row>
    <row r="1711" spans="1:9" x14ac:dyDescent="0.25">
      <c r="A1711" s="3">
        <v>42660</v>
      </c>
      <c r="B1711" s="4" t="s">
        <v>0</v>
      </c>
      <c r="C1711" s="4">
        <v>779.96002199999998</v>
      </c>
      <c r="D1711" s="6">
        <f t="shared" si="156"/>
        <v>1.836785925697373E-3</v>
      </c>
      <c r="E1711" s="4">
        <f t="shared" si="157"/>
        <v>-2.665218759336738E-3</v>
      </c>
      <c r="F1711" s="6">
        <f t="shared" si="158"/>
        <v>4.5020046850341115E-3</v>
      </c>
      <c r="G1711" s="4">
        <f t="shared" si="161"/>
        <v>2.5104131780198536E-2</v>
      </c>
      <c r="H1711" s="4">
        <f t="shared" si="159"/>
        <v>0.17933321592046342</v>
      </c>
      <c r="I1711" s="4">
        <f t="shared" si="160"/>
        <v>-0.93501873437086047</v>
      </c>
    </row>
    <row r="1712" spans="1:9" x14ac:dyDescent="0.25">
      <c r="A1712" s="3">
        <v>42661</v>
      </c>
      <c r="B1712" s="4" t="s">
        <v>0</v>
      </c>
      <c r="C1712" s="4">
        <v>795.26000999999997</v>
      </c>
      <c r="D1712" s="6">
        <f t="shared" si="156"/>
        <v>1.9616374645417385E-2</v>
      </c>
      <c r="E1712" s="4">
        <f t="shared" si="157"/>
        <v>-2.9299704318863171E-3</v>
      </c>
      <c r="F1712" s="6">
        <f t="shared" si="158"/>
        <v>2.2546345077303701E-2</v>
      </c>
      <c r="G1712" s="4">
        <f t="shared" si="161"/>
        <v>1.2435055446842595E-2</v>
      </c>
      <c r="H1712" s="4">
        <f t="shared" si="159"/>
        <v>1.8131278283144672</v>
      </c>
      <c r="I1712" s="4">
        <f t="shared" si="160"/>
        <v>-2.5626547941088407</v>
      </c>
    </row>
    <row r="1713" spans="1:9" x14ac:dyDescent="0.25">
      <c r="A1713" s="3">
        <v>42662</v>
      </c>
      <c r="B1713" s="4" t="s">
        <v>0</v>
      </c>
      <c r="C1713" s="4">
        <v>801.5</v>
      </c>
      <c r="D1713" s="6">
        <f t="shared" si="156"/>
        <v>7.8464777827820555E-3</v>
      </c>
      <c r="E1713" s="4">
        <f t="shared" si="157"/>
        <v>8.3637309179259377E-4</v>
      </c>
      <c r="F1713" s="6">
        <f t="shared" si="158"/>
        <v>7.0101046909894615E-3</v>
      </c>
      <c r="G1713" s="4">
        <f t="shared" si="161"/>
        <v>6.2708903396825832E-2</v>
      </c>
      <c r="H1713" s="4">
        <f t="shared" si="159"/>
        <v>0.11178802867320266</v>
      </c>
      <c r="I1713" s="4">
        <f t="shared" si="160"/>
        <v>-0.92518681488199306</v>
      </c>
    </row>
    <row r="1714" spans="1:9" x14ac:dyDescent="0.25">
      <c r="A1714" s="3">
        <v>42663</v>
      </c>
      <c r="B1714" s="4" t="s">
        <v>0</v>
      </c>
      <c r="C1714" s="4">
        <v>796.96997099999999</v>
      </c>
      <c r="D1714" s="6">
        <f t="shared" si="156"/>
        <v>-5.6519388646288377E-3</v>
      </c>
      <c r="E1714" s="4">
        <f t="shared" si="157"/>
        <v>8.0616090276591067E-3</v>
      </c>
      <c r="F1714" s="6">
        <f t="shared" si="158"/>
        <v>-1.3713547892287944E-2</v>
      </c>
      <c r="G1714" s="4">
        <f t="shared" si="161"/>
        <v>2.475074009487601E-2</v>
      </c>
      <c r="H1714" s="4">
        <f t="shared" si="159"/>
        <v>-0.55406617497983324</v>
      </c>
      <c r="I1714" s="4">
        <f t="shared" si="160"/>
        <v>-1.0724331963330642</v>
      </c>
    </row>
    <row r="1715" spans="1:9" x14ac:dyDescent="0.25">
      <c r="A1715" s="3">
        <v>42664</v>
      </c>
      <c r="B1715" s="4" t="s">
        <v>0</v>
      </c>
      <c r="C1715" s="4">
        <v>799.36999500000002</v>
      </c>
      <c r="D1715" s="6">
        <f t="shared" si="156"/>
        <v>3.0114359227218996E-3</v>
      </c>
      <c r="E1715" s="4">
        <f t="shared" si="157"/>
        <v>9.0069904741209503E-3</v>
      </c>
      <c r="F1715" s="6">
        <f t="shared" si="158"/>
        <v>-5.9955545513990507E-3</v>
      </c>
      <c r="G1715" s="4">
        <f t="shared" si="161"/>
        <v>2.1837032602657007E-2</v>
      </c>
      <c r="H1715" s="4">
        <f t="shared" si="159"/>
        <v>-0.27455903283624467</v>
      </c>
      <c r="I1715" s="4">
        <f t="shared" si="160"/>
        <v>-0.95662986446065967</v>
      </c>
    </row>
    <row r="1716" spans="1:9" x14ac:dyDescent="0.25">
      <c r="A1716" s="3">
        <v>42667</v>
      </c>
      <c r="B1716" s="4" t="s">
        <v>0</v>
      </c>
      <c r="C1716" s="4">
        <v>813.10998500000005</v>
      </c>
      <c r="D1716" s="6">
        <f t="shared" si="156"/>
        <v>1.7188523569739485E-2</v>
      </c>
      <c r="E1716" s="4">
        <f t="shared" si="157"/>
        <v>2.4244264256389168E-4</v>
      </c>
      <c r="F1716" s="6">
        <f t="shared" si="158"/>
        <v>1.6946080927175595E-2</v>
      </c>
      <c r="G1716" s="4">
        <f t="shared" si="161"/>
        <v>1.3541132460513427E-2</v>
      </c>
      <c r="H1716" s="4">
        <f t="shared" si="159"/>
        <v>1.251452267865421</v>
      </c>
      <c r="I1716" s="4">
        <f t="shared" si="160"/>
        <v>-1.7020049225774254</v>
      </c>
    </row>
    <row r="1717" spans="1:9" x14ac:dyDescent="0.25">
      <c r="A1717" s="3">
        <v>42668</v>
      </c>
      <c r="B1717" s="4" t="s">
        <v>0</v>
      </c>
      <c r="C1717" s="4">
        <v>807.669983</v>
      </c>
      <c r="D1717" s="6">
        <f t="shared" si="156"/>
        <v>-6.6903642807928983E-3</v>
      </c>
      <c r="E1717" s="4">
        <f t="shared" si="157"/>
        <v>-5.793656399651645E-4</v>
      </c>
      <c r="F1717" s="6">
        <f t="shared" si="158"/>
        <v>-6.1109986408277341E-3</v>
      </c>
      <c r="G1717" s="4">
        <f t="shared" si="161"/>
        <v>4.361607043058234E-2</v>
      </c>
      <c r="H1717" s="4">
        <f t="shared" si="159"/>
        <v>-0.14010887685431828</v>
      </c>
      <c r="I1717" s="4">
        <f t="shared" si="160"/>
        <v>-0.92875378189136193</v>
      </c>
    </row>
    <row r="1718" spans="1:9" x14ac:dyDescent="0.25">
      <c r="A1718" s="3">
        <v>42669</v>
      </c>
      <c r="B1718" s="4" t="s">
        <v>0</v>
      </c>
      <c r="C1718" s="4">
        <v>799.07000700000003</v>
      </c>
      <c r="D1718" s="6">
        <f t="shared" si="156"/>
        <v>-1.0647883641851241E-2</v>
      </c>
      <c r="E1718" s="4">
        <f t="shared" si="157"/>
        <v>7.4929404401167495E-3</v>
      </c>
      <c r="F1718" s="6">
        <f t="shared" si="158"/>
        <v>-1.8140824081967991E-2</v>
      </c>
      <c r="G1718" s="4">
        <f t="shared" si="161"/>
        <v>1.8033422645980436E-2</v>
      </c>
      <c r="H1718" s="4">
        <f t="shared" si="159"/>
        <v>-1.0059556878411817</v>
      </c>
      <c r="I1718" s="4">
        <f t="shared" si="160"/>
        <v>-1.4249119561546852</v>
      </c>
    </row>
    <row r="1719" spans="1:9" x14ac:dyDescent="0.25">
      <c r="A1719" s="3">
        <v>42670</v>
      </c>
      <c r="B1719" s="4" t="s">
        <v>0</v>
      </c>
      <c r="C1719" s="4">
        <v>795.34997599999997</v>
      </c>
      <c r="D1719" s="6">
        <f t="shared" si="156"/>
        <v>-4.6554506706695383E-3</v>
      </c>
      <c r="E1719" s="4">
        <f t="shared" si="157"/>
        <v>2.7062231870403249E-3</v>
      </c>
      <c r="F1719" s="6">
        <f t="shared" si="158"/>
        <v>-7.3616738577098632E-3</v>
      </c>
      <c r="G1719" s="4">
        <f t="shared" si="161"/>
        <v>3.5610314183121959E-2</v>
      </c>
      <c r="H1719" s="4">
        <f t="shared" si="159"/>
        <v>-0.2067286971929902</v>
      </c>
      <c r="I1719" s="4">
        <f t="shared" si="160"/>
        <v>-0.94030691032622815</v>
      </c>
    </row>
    <row r="1720" spans="1:9" x14ac:dyDescent="0.25">
      <c r="A1720" s="3">
        <v>42671</v>
      </c>
      <c r="B1720" s="4" t="s">
        <v>0</v>
      </c>
      <c r="C1720" s="4">
        <v>795.36999500000002</v>
      </c>
      <c r="D1720" s="6">
        <f t="shared" si="156"/>
        <v>2.5170051680554182E-5</v>
      </c>
      <c r="E1720" s="4">
        <f t="shared" si="157"/>
        <v>-6.1194965941768001E-3</v>
      </c>
      <c r="F1720" s="6">
        <f t="shared" si="158"/>
        <v>6.1446666458573546E-3</v>
      </c>
      <c r="G1720" s="4">
        <f t="shared" si="161"/>
        <v>1.612710591946058E-2</v>
      </c>
      <c r="H1720" s="4">
        <f t="shared" si="159"/>
        <v>0.38101483778577933</v>
      </c>
      <c r="I1720" s="4">
        <f t="shared" si="160"/>
        <v>-0.99152468651113457</v>
      </c>
    </row>
    <row r="1721" spans="1:9" x14ac:dyDescent="0.25">
      <c r="A1721" s="3">
        <v>42674</v>
      </c>
      <c r="B1721" s="4" t="s">
        <v>0</v>
      </c>
      <c r="C1721" s="4">
        <v>784.53997800000002</v>
      </c>
      <c r="D1721" s="6">
        <f t="shared" si="156"/>
        <v>-1.3616325820789855E-2</v>
      </c>
      <c r="E1721" s="4">
        <f t="shared" si="157"/>
        <v>-5.0406194545071633E-3</v>
      </c>
      <c r="F1721" s="6">
        <f t="shared" si="158"/>
        <v>-8.5757063662826906E-3</v>
      </c>
      <c r="G1721" s="4">
        <f t="shared" si="161"/>
        <v>1.5305253239189647E-2</v>
      </c>
      <c r="H1721" s="4">
        <f t="shared" si="159"/>
        <v>-0.56031130176430455</v>
      </c>
      <c r="I1721" s="4">
        <f t="shared" si="160"/>
        <v>-1.0759129106470775</v>
      </c>
    </row>
    <row r="1722" spans="1:9" x14ac:dyDescent="0.25">
      <c r="A1722" s="3">
        <v>42675</v>
      </c>
      <c r="B1722" s="4" t="s">
        <v>0</v>
      </c>
      <c r="C1722" s="4">
        <v>783.60998500000005</v>
      </c>
      <c r="D1722" s="6">
        <f t="shared" si="156"/>
        <v>-1.1853991206041098E-3</v>
      </c>
      <c r="E1722" s="4">
        <f t="shared" si="157"/>
        <v>-1.4163924070863449E-3</v>
      </c>
      <c r="F1722" s="6">
        <f t="shared" si="158"/>
        <v>2.3099328648223515E-4</v>
      </c>
      <c r="G1722" s="4">
        <f t="shared" si="161"/>
        <v>2.0735146927993272E-2</v>
      </c>
      <c r="H1722" s="4">
        <f t="shared" si="159"/>
        <v>1.1140180838091146E-2</v>
      </c>
      <c r="I1722" s="4">
        <f t="shared" si="160"/>
        <v>-0.91900058501922532</v>
      </c>
    </row>
    <row r="1723" spans="1:9" x14ac:dyDescent="0.25">
      <c r="A1723" s="3">
        <v>42676</v>
      </c>
      <c r="B1723" s="4" t="s">
        <v>0</v>
      </c>
      <c r="C1723" s="4">
        <v>768.70001200000002</v>
      </c>
      <c r="D1723" s="6">
        <f t="shared" si="156"/>
        <v>-1.9027288173210345E-2</v>
      </c>
      <c r="E1723" s="4">
        <f t="shared" si="157"/>
        <v>-5.1975537002713562E-3</v>
      </c>
      <c r="F1723" s="6">
        <f t="shared" si="158"/>
        <v>-1.382973447293899E-2</v>
      </c>
      <c r="G1723" s="4">
        <f t="shared" si="161"/>
        <v>9.3587317350419062E-3</v>
      </c>
      <c r="H1723" s="4">
        <f t="shared" si="159"/>
        <v>-1.4777359651368469</v>
      </c>
      <c r="I1723" s="4">
        <f t="shared" si="160"/>
        <v>-2.010790324534137</v>
      </c>
    </row>
    <row r="1724" spans="1:9" x14ac:dyDescent="0.25">
      <c r="A1724" s="3">
        <v>42677</v>
      </c>
      <c r="B1724" s="4" t="s">
        <v>0</v>
      </c>
      <c r="C1724" s="4">
        <v>762.13000499999998</v>
      </c>
      <c r="D1724" s="6">
        <f t="shared" si="156"/>
        <v>-8.5469063320374097E-3</v>
      </c>
      <c r="E1724" s="4">
        <f t="shared" si="157"/>
        <v>-4.6235638999350325E-3</v>
      </c>
      <c r="F1724" s="6">
        <f t="shared" si="158"/>
        <v>-3.9233424321023771E-3</v>
      </c>
      <c r="G1724" s="4">
        <f t="shared" si="161"/>
        <v>5.1168836369460707E-2</v>
      </c>
      <c r="H1724" s="4">
        <f t="shared" si="159"/>
        <v>-7.6674450905511712E-2</v>
      </c>
      <c r="I1724" s="4">
        <f t="shared" si="160"/>
        <v>-0.92187801891550358</v>
      </c>
    </row>
    <row r="1725" spans="1:9" x14ac:dyDescent="0.25">
      <c r="A1725" s="3">
        <v>42678</v>
      </c>
      <c r="B1725" s="4" t="s">
        <v>0</v>
      </c>
      <c r="C1725" s="4">
        <v>762.02002000000005</v>
      </c>
      <c r="D1725" s="6">
        <f t="shared" si="156"/>
        <v>-1.4431264912596878E-4</v>
      </c>
      <c r="E1725" s="4">
        <f t="shared" si="157"/>
        <v>-7.6369388708529221E-3</v>
      </c>
      <c r="F1725" s="6">
        <f t="shared" si="158"/>
        <v>7.4926262217269533E-3</v>
      </c>
      <c r="G1725" s="4">
        <f t="shared" si="161"/>
        <v>2.0329158066952149E-2</v>
      </c>
      <c r="H1725" s="4">
        <f t="shared" si="159"/>
        <v>0.36856549577954489</v>
      </c>
      <c r="I1725" s="4">
        <f t="shared" si="160"/>
        <v>-0.98685879554428346</v>
      </c>
    </row>
    <row r="1726" spans="1:9" x14ac:dyDescent="0.25">
      <c r="A1726" s="3">
        <v>42681</v>
      </c>
      <c r="B1726" s="4" t="s">
        <v>0</v>
      </c>
      <c r="C1726" s="4">
        <v>782.52002000000005</v>
      </c>
      <c r="D1726" s="6">
        <f t="shared" si="156"/>
        <v>2.6902180339041484E-2</v>
      </c>
      <c r="E1726" s="4">
        <f t="shared" si="157"/>
        <v>-9.0944566422418074E-3</v>
      </c>
      <c r="F1726" s="6">
        <f t="shared" si="158"/>
        <v>3.5996636981283289E-2</v>
      </c>
      <c r="G1726" s="4">
        <f t="shared" si="161"/>
        <v>1.5669909273613086E-2</v>
      </c>
      <c r="H1726" s="4">
        <f t="shared" si="159"/>
        <v>2.2971822205696388</v>
      </c>
      <c r="I1726" s="4">
        <f t="shared" si="160"/>
        <v>-3.557461610455301</v>
      </c>
    </row>
    <row r="1727" spans="1:9" x14ac:dyDescent="0.25">
      <c r="A1727" s="3">
        <v>42682</v>
      </c>
      <c r="B1727" s="4" t="s">
        <v>0</v>
      </c>
      <c r="C1727" s="4">
        <v>790.51000999999997</v>
      </c>
      <c r="D1727" s="6">
        <f t="shared" si="156"/>
        <v>1.0210588605771287E-2</v>
      </c>
      <c r="E1727" s="4">
        <f t="shared" si="157"/>
        <v>-2.6721386501649194E-3</v>
      </c>
      <c r="F1727" s="6">
        <f t="shared" si="158"/>
        <v>1.2882727255936206E-2</v>
      </c>
      <c r="G1727" s="4">
        <f t="shared" si="161"/>
        <v>7.9353514593097835E-2</v>
      </c>
      <c r="H1727" s="4">
        <f t="shared" si="159"/>
        <v>0.16234601985803845</v>
      </c>
      <c r="I1727" s="4">
        <f t="shared" si="160"/>
        <v>-0.93211664828654595</v>
      </c>
    </row>
    <row r="1728" spans="1:9" x14ac:dyDescent="0.25">
      <c r="A1728" s="3">
        <v>42683</v>
      </c>
      <c r="B1728" s="4" t="s">
        <v>0</v>
      </c>
      <c r="C1728" s="4">
        <v>785.30999799999995</v>
      </c>
      <c r="D1728" s="6">
        <f t="shared" si="156"/>
        <v>-6.5780470003156764E-3</v>
      </c>
      <c r="E1728" s="4">
        <f t="shared" si="157"/>
        <v>1.024015258658015E-2</v>
      </c>
      <c r="F1728" s="6">
        <f t="shared" si="158"/>
        <v>-1.6818199586895826E-2</v>
      </c>
      <c r="G1728" s="4">
        <f t="shared" si="161"/>
        <v>3.1201809944381226E-2</v>
      </c>
      <c r="H1728" s="4">
        <f t="shared" si="159"/>
        <v>-0.53901358981658753</v>
      </c>
      <c r="I1728" s="4">
        <f t="shared" si="160"/>
        <v>-1.0642063582081549</v>
      </c>
    </row>
    <row r="1729" spans="1:9" x14ac:dyDescent="0.25">
      <c r="A1729" s="3">
        <v>42684</v>
      </c>
      <c r="B1729" s="4" t="s">
        <v>0</v>
      </c>
      <c r="C1729" s="4">
        <v>762.55999799999995</v>
      </c>
      <c r="D1729" s="6">
        <f t="shared" si="156"/>
        <v>-2.8969451627941709E-2</v>
      </c>
      <c r="E1729" s="4">
        <f t="shared" si="157"/>
        <v>1.2142016497420402E-2</v>
      </c>
      <c r="F1729" s="6">
        <f t="shared" si="158"/>
        <v>-4.1111468125362108E-2</v>
      </c>
      <c r="G1729" s="4">
        <f t="shared" si="161"/>
        <v>2.2583413569981961E-2</v>
      </c>
      <c r="H1729" s="4">
        <f t="shared" si="159"/>
        <v>-1.8204275451080509</v>
      </c>
      <c r="I1729" s="4">
        <f t="shared" si="160"/>
        <v>-2.5759167566987351</v>
      </c>
    </row>
    <row r="1730" spans="1:9" x14ac:dyDescent="0.25">
      <c r="A1730" s="3">
        <v>42685</v>
      </c>
      <c r="B1730" s="4" t="s">
        <v>0</v>
      </c>
      <c r="C1730" s="4">
        <v>754.02002000000005</v>
      </c>
      <c r="D1730" s="6">
        <f t="shared" si="156"/>
        <v>-1.1199089937051623E-2</v>
      </c>
      <c r="E1730" s="4">
        <f t="shared" si="157"/>
        <v>6.1178529641717607E-4</v>
      </c>
      <c r="F1730" s="6">
        <f t="shared" si="158"/>
        <v>-1.1810875233468798E-2</v>
      </c>
      <c r="G1730" s="4">
        <f t="shared" si="161"/>
        <v>6.3368287212910657E-2</v>
      </c>
      <c r="H1730" s="4">
        <f t="shared" si="159"/>
        <v>-0.18638463737840227</v>
      </c>
      <c r="I1730" s="4">
        <f t="shared" si="160"/>
        <v>-0.93630814973001197</v>
      </c>
    </row>
    <row r="1731" spans="1:9" x14ac:dyDescent="0.25">
      <c r="A1731" s="3">
        <v>42688</v>
      </c>
      <c r="B1731" s="4" t="s">
        <v>0</v>
      </c>
      <c r="C1731" s="4">
        <v>736.080017</v>
      </c>
      <c r="D1731" s="6">
        <f t="shared" si="156"/>
        <v>-2.3792475695804529E-2</v>
      </c>
      <c r="E1731" s="4">
        <f t="shared" si="157"/>
        <v>-1.3089184720163741E-2</v>
      </c>
      <c r="F1731" s="6">
        <f t="shared" si="158"/>
        <v>-1.0703290975640788E-2</v>
      </c>
      <c r="G1731" s="4">
        <f t="shared" si="161"/>
        <v>2.5514701779238536E-2</v>
      </c>
      <c r="H1731" s="4">
        <f t="shared" si="159"/>
        <v>-0.41949504518019171</v>
      </c>
      <c r="I1731" s="4">
        <f t="shared" si="160"/>
        <v>-1.0069265796700382</v>
      </c>
    </row>
    <row r="1732" spans="1:9" x14ac:dyDescent="0.25">
      <c r="A1732" s="3">
        <v>42689</v>
      </c>
      <c r="B1732" s="4" t="s">
        <v>0</v>
      </c>
      <c r="C1732" s="4">
        <v>758.48999000000003</v>
      </c>
      <c r="D1732" s="6">
        <f t="shared" ref="D1732:D1763" si="162">(C1732-C1731)/C1731</f>
        <v>3.0445022935597553E-2</v>
      </c>
      <c r="E1732" s="4">
        <f t="shared" si="157"/>
        <v>-1.3153613832542405E-2</v>
      </c>
      <c r="F1732" s="6">
        <f t="shared" si="158"/>
        <v>4.3598636768139958E-2</v>
      </c>
      <c r="G1732" s="4">
        <f t="shared" si="161"/>
        <v>1.8100289650364743E-2</v>
      </c>
      <c r="H1732" s="4">
        <f t="shared" si="159"/>
        <v>2.4087259160110395</v>
      </c>
      <c r="I1732" s="4">
        <f t="shared" si="160"/>
        <v>-3.8199188024362831</v>
      </c>
    </row>
    <row r="1733" spans="1:9" x14ac:dyDescent="0.25">
      <c r="A1733" s="3">
        <v>42690</v>
      </c>
      <c r="B1733" s="4" t="s">
        <v>0</v>
      </c>
      <c r="C1733" s="4">
        <v>764.47997999999995</v>
      </c>
      <c r="D1733" s="6">
        <f t="shared" si="162"/>
        <v>7.8972564951053873E-3</v>
      </c>
      <c r="E1733" s="4">
        <f t="shared" si="157"/>
        <v>-1.2524506146889153E-2</v>
      </c>
      <c r="F1733" s="6">
        <f t="shared" si="158"/>
        <v>2.042176264199454E-2</v>
      </c>
      <c r="G1733" s="4">
        <f t="shared" si="161"/>
        <v>8.3242322353403717E-2</v>
      </c>
      <c r="H1733" s="4">
        <f t="shared" si="159"/>
        <v>0.2453290833873463</v>
      </c>
      <c r="I1733" s="4">
        <f t="shared" si="160"/>
        <v>-0.94903171278251053</v>
      </c>
    </row>
    <row r="1734" spans="1:9" x14ac:dyDescent="0.25">
      <c r="A1734" s="3">
        <v>42691</v>
      </c>
      <c r="B1734" s="4" t="s">
        <v>0</v>
      </c>
      <c r="C1734" s="4">
        <v>771.22997999999995</v>
      </c>
      <c r="D1734" s="6">
        <f t="shared" si="162"/>
        <v>8.8295314155905046E-3</v>
      </c>
      <c r="E1734" s="4">
        <f t="shared" si="157"/>
        <v>4.3521591684654668E-3</v>
      </c>
      <c r="F1734" s="6">
        <f t="shared" si="158"/>
        <v>4.4773722471250377E-3</v>
      </c>
      <c r="G1734" s="4">
        <f t="shared" si="161"/>
        <v>3.3251692661811175E-2</v>
      </c>
      <c r="H1734" s="4">
        <f t="shared" si="159"/>
        <v>0.13465095725088305</v>
      </c>
      <c r="I1734" s="4">
        <f t="shared" si="160"/>
        <v>-0.92800397334896223</v>
      </c>
    </row>
    <row r="1735" spans="1:9" x14ac:dyDescent="0.25">
      <c r="A1735" s="3">
        <v>42692</v>
      </c>
      <c r="B1735" s="4" t="s">
        <v>0</v>
      </c>
      <c r="C1735" s="4">
        <v>760.53997800000002</v>
      </c>
      <c r="D1735" s="6">
        <f t="shared" si="162"/>
        <v>-1.3860978277841243E-2</v>
      </c>
      <c r="E1735" s="4">
        <f t="shared" ref="E1735:E1763" si="163">+$M$16*D1734+$M$17*D1733+$M$18*D1732</f>
        <v>1.2342989245114148E-2</v>
      </c>
      <c r="F1735" s="6">
        <f t="shared" ref="F1735:F1763" si="164">D1735-E1735</f>
        <v>-2.6203967522955389E-2</v>
      </c>
      <c r="G1735" s="4">
        <f t="shared" si="161"/>
        <v>1.4399165491067591E-2</v>
      </c>
      <c r="H1735" s="4">
        <f t="shared" ref="H1735:H1763" si="165">F1735/G1735</f>
        <v>-1.8198254294119207</v>
      </c>
      <c r="I1735" s="4">
        <f t="shared" ref="I1735:I1763" si="166">LN(_xlfn.NORM.DIST(H1735,0,1,FALSE))</f>
        <v>-2.5748208299718134</v>
      </c>
    </row>
    <row r="1736" spans="1:9" x14ac:dyDescent="0.25">
      <c r="A1736" s="3">
        <v>42695</v>
      </c>
      <c r="B1736" s="4" t="s">
        <v>0</v>
      </c>
      <c r="C1736" s="4">
        <v>769.20001200000002</v>
      </c>
      <c r="D1736" s="6">
        <f t="shared" si="162"/>
        <v>1.1386691364697723E-2</v>
      </c>
      <c r="E1736" s="4">
        <f t="shared" si="163"/>
        <v>5.7936214077577795E-3</v>
      </c>
      <c r="F1736" s="6">
        <f t="shared" si="164"/>
        <v>5.5930699569399431E-3</v>
      </c>
      <c r="G1736" s="4">
        <f t="shared" ref="G1736:G1763" si="167">SQRT($M$12 + $M$13 *H1735^2+$M$14*G1735^2)</f>
        <v>6.2998750987785859E-2</v>
      </c>
      <c r="H1736" s="4">
        <f t="shared" si="165"/>
        <v>8.8780648334191928E-2</v>
      </c>
      <c r="I1736" s="4">
        <f t="shared" si="166"/>
        <v>-0.92287953496399244</v>
      </c>
    </row>
    <row r="1737" spans="1:9" x14ac:dyDescent="0.25">
      <c r="A1737" s="3">
        <v>42696</v>
      </c>
      <c r="B1737" s="4" t="s">
        <v>0</v>
      </c>
      <c r="C1737" s="4">
        <v>768.27002000000005</v>
      </c>
      <c r="D1737" s="6">
        <f t="shared" si="162"/>
        <v>-1.2090379426566756E-3</v>
      </c>
      <c r="E1737" s="4">
        <f t="shared" si="163"/>
        <v>-2.5944726624517927E-3</v>
      </c>
      <c r="F1737" s="6">
        <f t="shared" si="164"/>
        <v>1.385434719795117E-3</v>
      </c>
      <c r="G1737" s="4">
        <f t="shared" si="167"/>
        <v>2.4747833176109645E-2</v>
      </c>
      <c r="H1737" s="4">
        <f t="shared" si="165"/>
        <v>5.5982061537918737E-2</v>
      </c>
      <c r="I1737" s="4">
        <f t="shared" si="166"/>
        <v>-0.92050552881169034</v>
      </c>
    </row>
    <row r="1738" spans="1:9" x14ac:dyDescent="0.25">
      <c r="A1738" s="3">
        <v>42697</v>
      </c>
      <c r="B1738" s="4" t="s">
        <v>0</v>
      </c>
      <c r="C1738" s="4">
        <v>760.98999000000003</v>
      </c>
      <c r="D1738" s="6">
        <f t="shared" si="162"/>
        <v>-9.4758741204036701E-3</v>
      </c>
      <c r="E1738" s="4">
        <f t="shared" si="163"/>
        <v>1.0791602087752671E-4</v>
      </c>
      <c r="F1738" s="6">
        <f t="shared" si="164"/>
        <v>-9.5837901412811968E-3</v>
      </c>
      <c r="G1738" s="4">
        <f t="shared" si="167"/>
        <v>1.0850752179461338E-2</v>
      </c>
      <c r="H1738" s="4">
        <f t="shared" si="165"/>
        <v>-0.88323739983866845</v>
      </c>
      <c r="I1738" s="4">
        <f t="shared" si="166"/>
        <v>-1.3089926854415588</v>
      </c>
    </row>
    <row r="1739" spans="1:9" x14ac:dyDescent="0.25">
      <c r="A1739" s="3">
        <v>42699</v>
      </c>
      <c r="B1739" s="4" t="s">
        <v>0</v>
      </c>
      <c r="C1739" s="4">
        <v>761.67999299999997</v>
      </c>
      <c r="D1739" s="6">
        <f t="shared" si="162"/>
        <v>9.0671757719169637E-4</v>
      </c>
      <c r="E1739" s="4">
        <f t="shared" si="163"/>
        <v>3.0248198220849164E-3</v>
      </c>
      <c r="F1739" s="6">
        <f t="shared" si="164"/>
        <v>-2.11810224489322E-3</v>
      </c>
      <c r="G1739" s="4">
        <f t="shared" si="167"/>
        <v>3.1046337451385506E-2</v>
      </c>
      <c r="H1739" s="4">
        <f t="shared" si="165"/>
        <v>-6.8223900748675764E-2</v>
      </c>
      <c r="I1739" s="4">
        <f t="shared" si="166"/>
        <v>-0.92126578352135524</v>
      </c>
    </row>
    <row r="1740" spans="1:9" x14ac:dyDescent="0.25">
      <c r="A1740" s="3">
        <v>42702</v>
      </c>
      <c r="B1740" s="4" t="s">
        <v>0</v>
      </c>
      <c r="C1740" s="4">
        <v>768.23999000000003</v>
      </c>
      <c r="D1740" s="6">
        <f t="shared" si="162"/>
        <v>8.6125368399955684E-3</v>
      </c>
      <c r="E1740" s="4">
        <f t="shared" si="163"/>
        <v>-3.9926821511857037E-3</v>
      </c>
      <c r="F1740" s="6">
        <f t="shared" si="164"/>
        <v>1.2605218991181272E-2</v>
      </c>
      <c r="G1740" s="4">
        <f t="shared" si="167"/>
        <v>1.3066979806252125E-2</v>
      </c>
      <c r="H1740" s="4">
        <f t="shared" si="165"/>
        <v>0.96466200897854637</v>
      </c>
      <c r="I1740" s="4">
        <f t="shared" si="166"/>
        <v>-1.3842249289879354</v>
      </c>
    </row>
    <row r="1741" spans="1:9" x14ac:dyDescent="0.25">
      <c r="A1741" s="3">
        <v>42703</v>
      </c>
      <c r="B1741" s="4" t="s">
        <v>0</v>
      </c>
      <c r="C1741" s="4">
        <v>770.84002699999996</v>
      </c>
      <c r="D1741" s="6">
        <f t="shared" si="162"/>
        <v>3.384407260548789E-3</v>
      </c>
      <c r="E1741" s="4">
        <f t="shared" si="163"/>
        <v>-2.5552158735826719E-3</v>
      </c>
      <c r="F1741" s="6">
        <f t="shared" si="164"/>
        <v>5.9396231341314609E-3</v>
      </c>
      <c r="G1741" s="4">
        <f t="shared" si="167"/>
        <v>3.3903073321172199E-2</v>
      </c>
      <c r="H1741" s="4">
        <f t="shared" si="165"/>
        <v>0.17519423911407506</v>
      </c>
      <c r="I1741" s="4">
        <f t="shared" si="166"/>
        <v>-0.93428504391405254</v>
      </c>
    </row>
    <row r="1742" spans="1:9" x14ac:dyDescent="0.25">
      <c r="A1742" s="3">
        <v>42704</v>
      </c>
      <c r="B1742" s="4" t="s">
        <v>0</v>
      </c>
      <c r="C1742" s="4">
        <v>758.03997800000002</v>
      </c>
      <c r="D1742" s="6">
        <f t="shared" si="162"/>
        <v>-1.6605324777718044E-2</v>
      </c>
      <c r="E1742" s="4">
        <f t="shared" si="163"/>
        <v>3.570145793841253E-3</v>
      </c>
      <c r="F1742" s="6">
        <f t="shared" si="164"/>
        <v>-2.0175470571559297E-2</v>
      </c>
      <c r="G1742" s="4">
        <f t="shared" si="167"/>
        <v>1.5118079975952469E-2</v>
      </c>
      <c r="H1742" s="4">
        <f t="shared" si="165"/>
        <v>-1.3345259850226585</v>
      </c>
      <c r="I1742" s="4">
        <f t="shared" si="166"/>
        <v>-1.8094183355550213</v>
      </c>
    </row>
    <row r="1743" spans="1:9" x14ac:dyDescent="0.25">
      <c r="A1743" s="3">
        <v>42705</v>
      </c>
      <c r="B1743" s="4" t="s">
        <v>0</v>
      </c>
      <c r="C1743" s="4">
        <v>747.919983</v>
      </c>
      <c r="D1743" s="6">
        <f t="shared" si="162"/>
        <v>-1.3350212777300271E-2</v>
      </c>
      <c r="E1743" s="4">
        <f t="shared" si="163"/>
        <v>3.9310649087211814E-3</v>
      </c>
      <c r="F1743" s="6">
        <f t="shared" si="164"/>
        <v>-1.7281277686021453E-2</v>
      </c>
      <c r="G1743" s="4">
        <f t="shared" si="167"/>
        <v>4.6506233642688286E-2</v>
      </c>
      <c r="H1743" s="4">
        <f t="shared" si="165"/>
        <v>-0.37159056609045393</v>
      </c>
      <c r="I1743" s="4">
        <f t="shared" si="166"/>
        <v>-0.98797830760838479</v>
      </c>
    </row>
    <row r="1744" spans="1:9" x14ac:dyDescent="0.25">
      <c r="A1744" s="3">
        <v>42706</v>
      </c>
      <c r="B1744" s="4" t="s">
        <v>0</v>
      </c>
      <c r="C1744" s="4">
        <v>750.5</v>
      </c>
      <c r="D1744" s="6">
        <f t="shared" si="162"/>
        <v>3.4495896066999428E-3</v>
      </c>
      <c r="E1744" s="4">
        <f t="shared" si="163"/>
        <v>-5.3116553534989551E-3</v>
      </c>
      <c r="F1744" s="6">
        <f t="shared" si="164"/>
        <v>8.7612449601988975E-3</v>
      </c>
      <c r="G1744" s="4">
        <f t="shared" si="167"/>
        <v>2.2430867046349726E-2</v>
      </c>
      <c r="H1744" s="4">
        <f t="shared" si="165"/>
        <v>0.39058877849417117</v>
      </c>
      <c r="I1744" s="4">
        <f t="shared" si="166"/>
        <v>-0.99521833014745709</v>
      </c>
    </row>
    <row r="1745" spans="1:9" x14ac:dyDescent="0.25">
      <c r="A1745" s="3">
        <v>42709</v>
      </c>
      <c r="B1745" s="4" t="s">
        <v>0</v>
      </c>
      <c r="C1745" s="4">
        <v>762.52002000000005</v>
      </c>
      <c r="D1745" s="6">
        <f t="shared" si="162"/>
        <v>1.60160159893405E-2</v>
      </c>
      <c r="E1745" s="4">
        <f t="shared" si="163"/>
        <v>-1.0188857344088547E-2</v>
      </c>
      <c r="F1745" s="6">
        <f t="shared" si="164"/>
        <v>2.6204873333429045E-2</v>
      </c>
      <c r="G1745" s="4">
        <f t="shared" si="167"/>
        <v>1.668534428010111E-2</v>
      </c>
      <c r="H1745" s="4">
        <f t="shared" si="165"/>
        <v>1.5705323722136735</v>
      </c>
      <c r="I1745" s="4">
        <f t="shared" si="166"/>
        <v>-2.1522244992902273</v>
      </c>
    </row>
    <row r="1746" spans="1:9" x14ac:dyDescent="0.25">
      <c r="A1746" s="3">
        <v>42710</v>
      </c>
      <c r="B1746" s="4" t="s">
        <v>0</v>
      </c>
      <c r="C1746" s="4">
        <v>759.10998500000005</v>
      </c>
      <c r="D1746" s="6">
        <f t="shared" si="162"/>
        <v>-4.472059631955622E-3</v>
      </c>
      <c r="E1746" s="4">
        <f t="shared" si="163"/>
        <v>-2.7695054582301997E-3</v>
      </c>
      <c r="F1746" s="6">
        <f t="shared" si="164"/>
        <v>-1.7025541737254223E-3</v>
      </c>
      <c r="G1746" s="4">
        <f t="shared" si="167"/>
        <v>5.4592580529439501E-2</v>
      </c>
      <c r="H1746" s="4">
        <f t="shared" si="165"/>
        <v>-3.1186548743694316E-2</v>
      </c>
      <c r="I1746" s="4">
        <f t="shared" si="166"/>
        <v>-0.91942483361594407</v>
      </c>
    </row>
    <row r="1747" spans="1:9" x14ac:dyDescent="0.25">
      <c r="A1747" s="3">
        <v>42711</v>
      </c>
      <c r="B1747" s="4" t="s">
        <v>0</v>
      </c>
      <c r="C1747" s="4">
        <v>771.19000200000005</v>
      </c>
      <c r="D1747" s="6">
        <f t="shared" si="162"/>
        <v>1.5913394947637261E-2</v>
      </c>
      <c r="E1747" s="4">
        <f t="shared" si="163"/>
        <v>7.1789450614730332E-3</v>
      </c>
      <c r="F1747" s="6">
        <f t="shared" si="164"/>
        <v>8.7344498861642271E-3</v>
      </c>
      <c r="G1747" s="4">
        <f t="shared" si="167"/>
        <v>2.1453272011721362E-2</v>
      </c>
      <c r="H1747" s="4">
        <f t="shared" si="165"/>
        <v>0.40713835546354005</v>
      </c>
      <c r="I1747" s="4">
        <f t="shared" si="166"/>
        <v>-1.0018193534494506</v>
      </c>
    </row>
    <row r="1748" spans="1:9" x14ac:dyDescent="0.25">
      <c r="A1748" s="3">
        <v>42712</v>
      </c>
      <c r="B1748" s="4" t="s">
        <v>0</v>
      </c>
      <c r="C1748" s="4">
        <v>776.419983</v>
      </c>
      <c r="D1748" s="6">
        <f t="shared" si="162"/>
        <v>6.7817022866434309E-3</v>
      </c>
      <c r="E1748" s="4">
        <f t="shared" si="163"/>
        <v>3.1956831408021615E-3</v>
      </c>
      <c r="F1748" s="6">
        <f t="shared" si="164"/>
        <v>3.5860191458412694E-3</v>
      </c>
      <c r="G1748" s="4">
        <f t="shared" si="167"/>
        <v>1.6963231126624265E-2</v>
      </c>
      <c r="H1748" s="4">
        <f t="shared" si="165"/>
        <v>0.21139953344224097</v>
      </c>
      <c r="I1748" s="4">
        <f t="shared" si="166"/>
        <v>-0.94128341457447129</v>
      </c>
    </row>
    <row r="1749" spans="1:9" x14ac:dyDescent="0.25">
      <c r="A1749" s="3">
        <v>42713</v>
      </c>
      <c r="B1749" s="4" t="s">
        <v>0</v>
      </c>
      <c r="C1749" s="4">
        <v>789.28997800000002</v>
      </c>
      <c r="D1749" s="6">
        <f t="shared" si="162"/>
        <v>1.6576073879850176E-2</v>
      </c>
      <c r="E1749" s="4">
        <f t="shared" si="163"/>
        <v>4.7139176437954291E-3</v>
      </c>
      <c r="F1749" s="6">
        <f t="shared" si="164"/>
        <v>1.1862156236054747E-2</v>
      </c>
      <c r="G1749" s="4">
        <f t="shared" si="167"/>
        <v>1.0933085202013122E-2</v>
      </c>
      <c r="H1749" s="4">
        <f t="shared" si="165"/>
        <v>1.0849779377801387</v>
      </c>
      <c r="I1749" s="4">
        <f t="shared" si="166"/>
        <v>-1.507527095939494</v>
      </c>
    </row>
    <row r="1750" spans="1:9" x14ac:dyDescent="0.25">
      <c r="A1750" s="3">
        <v>42716</v>
      </c>
      <c r="B1750" s="4" t="s">
        <v>0</v>
      </c>
      <c r="C1750" s="4">
        <v>789.27002000000005</v>
      </c>
      <c r="D1750" s="6">
        <f t="shared" si="162"/>
        <v>-2.5286017251284753E-5</v>
      </c>
      <c r="E1750" s="4">
        <f t="shared" si="163"/>
        <v>7.4663477704188502E-3</v>
      </c>
      <c r="F1750" s="6">
        <f t="shared" si="164"/>
        <v>-7.491633787670135E-3</v>
      </c>
      <c r="G1750" s="4">
        <f t="shared" si="167"/>
        <v>3.7860167968155792E-2</v>
      </c>
      <c r="H1750" s="4">
        <f t="shared" si="165"/>
        <v>-0.19787640123444122</v>
      </c>
      <c r="I1750" s="4">
        <f t="shared" si="166"/>
        <v>-0.9385160682874194</v>
      </c>
    </row>
    <row r="1751" spans="1:9" x14ac:dyDescent="0.25">
      <c r="A1751" s="3">
        <v>42717</v>
      </c>
      <c r="B1751" s="4" t="s">
        <v>0</v>
      </c>
      <c r="C1751" s="4">
        <v>796.09997599999997</v>
      </c>
      <c r="D1751" s="6">
        <f t="shared" si="162"/>
        <v>8.6535099863541305E-3</v>
      </c>
      <c r="E1751" s="4">
        <f t="shared" si="163"/>
        <v>8.4135993688210058E-3</v>
      </c>
      <c r="F1751" s="6">
        <f t="shared" si="164"/>
        <v>2.3991061753312476E-4</v>
      </c>
      <c r="G1751" s="4">
        <f t="shared" si="167"/>
        <v>1.6731363556219812E-2</v>
      </c>
      <c r="H1751" s="4">
        <f t="shared" si="165"/>
        <v>1.4338975823876532E-2</v>
      </c>
      <c r="I1751" s="4">
        <f t="shared" si="166"/>
        <v>-0.91904133631851159</v>
      </c>
    </row>
    <row r="1752" spans="1:9" x14ac:dyDescent="0.25">
      <c r="A1752" s="3">
        <v>42718</v>
      </c>
      <c r="B1752" s="4" t="s">
        <v>0</v>
      </c>
      <c r="C1752" s="4">
        <v>797.07000700000003</v>
      </c>
      <c r="D1752" s="6">
        <f t="shared" si="162"/>
        <v>1.2184788710508172E-3</v>
      </c>
      <c r="E1752" s="4">
        <f t="shared" si="163"/>
        <v>5.0669660465391606E-3</v>
      </c>
      <c r="F1752" s="6">
        <f t="shared" si="164"/>
        <v>-3.8484871754883433E-3</v>
      </c>
      <c r="G1752" s="4">
        <f t="shared" si="167"/>
        <v>8.113105903732494E-3</v>
      </c>
      <c r="H1752" s="4">
        <f t="shared" si="165"/>
        <v>-0.47435436208441684</v>
      </c>
      <c r="I1752" s="4">
        <f t="shared" si="166"/>
        <v>-1.0314445636189298</v>
      </c>
    </row>
    <row r="1753" spans="1:9" x14ac:dyDescent="0.25">
      <c r="A1753" s="3">
        <v>42719</v>
      </c>
      <c r="B1753" s="4" t="s">
        <v>0</v>
      </c>
      <c r="C1753" s="4">
        <v>797.84997599999997</v>
      </c>
      <c r="D1753" s="6">
        <f t="shared" si="162"/>
        <v>9.7854516309749595E-4</v>
      </c>
      <c r="E1753" s="4">
        <f t="shared" si="163"/>
        <v>3.3003374947831411E-3</v>
      </c>
      <c r="F1753" s="6">
        <f t="shared" si="164"/>
        <v>-2.3217923316856451E-3</v>
      </c>
      <c r="G1753" s="4">
        <f t="shared" si="167"/>
        <v>1.7329078088415849E-2</v>
      </c>
      <c r="H1753" s="4">
        <f t="shared" si="165"/>
        <v>-0.13398244960519384</v>
      </c>
      <c r="I1753" s="4">
        <f t="shared" si="166"/>
        <v>-0.92791418160577688</v>
      </c>
    </row>
    <row r="1754" spans="1:9" x14ac:dyDescent="0.25">
      <c r="A1754" s="3">
        <v>42720</v>
      </c>
      <c r="B1754" s="4" t="s">
        <v>0</v>
      </c>
      <c r="C1754" s="4">
        <v>790.79998799999998</v>
      </c>
      <c r="D1754" s="6">
        <f t="shared" si="162"/>
        <v>-8.8362326403077871E-3</v>
      </c>
      <c r="E1754" s="4">
        <f t="shared" si="163"/>
        <v>3.1159752960051375E-3</v>
      </c>
      <c r="F1754" s="6">
        <f t="shared" si="164"/>
        <v>-1.1952207936312924E-2</v>
      </c>
      <c r="G1754" s="4">
        <f t="shared" si="167"/>
        <v>9.4742306944614416E-3</v>
      </c>
      <c r="H1754" s="4">
        <f t="shared" si="165"/>
        <v>-1.2615491771062834</v>
      </c>
      <c r="I1754" s="4">
        <f t="shared" si="166"/>
        <v>-1.7146916963334431</v>
      </c>
    </row>
    <row r="1755" spans="1:9" x14ac:dyDescent="0.25">
      <c r="A1755" s="3">
        <v>42723</v>
      </c>
      <c r="B1755" s="4" t="s">
        <v>0</v>
      </c>
      <c r="C1755" s="4">
        <v>794.20001200000002</v>
      </c>
      <c r="D1755" s="6">
        <f t="shared" si="162"/>
        <v>4.2994740156723802E-3</v>
      </c>
      <c r="E1755" s="4">
        <f t="shared" si="163"/>
        <v>7.4706260275510966E-4</v>
      </c>
      <c r="F1755" s="6">
        <f t="shared" si="164"/>
        <v>3.5524114129172708E-3</v>
      </c>
      <c r="G1755" s="4">
        <f t="shared" si="167"/>
        <v>4.3803060831935754E-2</v>
      </c>
      <c r="H1755" s="4">
        <f t="shared" si="165"/>
        <v>8.1099615995950988E-2</v>
      </c>
      <c r="I1755" s="4">
        <f t="shared" si="166"/>
        <v>-0.92222710706201805</v>
      </c>
    </row>
    <row r="1756" spans="1:9" x14ac:dyDescent="0.25">
      <c r="A1756" s="3">
        <v>42724</v>
      </c>
      <c r="B1756" s="4" t="s">
        <v>0</v>
      </c>
      <c r="C1756" s="4">
        <v>796.419983</v>
      </c>
      <c r="D1756" s="6">
        <f t="shared" si="162"/>
        <v>2.7952291191856425E-3</v>
      </c>
      <c r="E1756" s="4">
        <f t="shared" si="163"/>
        <v>-3.0781404859335187E-3</v>
      </c>
      <c r="F1756" s="6">
        <f t="shared" si="164"/>
        <v>5.8733696051191612E-3</v>
      </c>
      <c r="G1756" s="4">
        <f t="shared" si="167"/>
        <v>1.7668049223200467E-2</v>
      </c>
      <c r="H1756" s="4">
        <f t="shared" si="165"/>
        <v>0.33242886811785971</v>
      </c>
      <c r="I1756" s="4">
        <f t="shared" si="166"/>
        <v>-0.97419300938373343</v>
      </c>
    </row>
    <row r="1757" spans="1:9" x14ac:dyDescent="0.25">
      <c r="A1757" s="3">
        <v>42725</v>
      </c>
      <c r="B1757" s="4" t="s">
        <v>0</v>
      </c>
      <c r="C1757" s="4">
        <v>794.55999799999995</v>
      </c>
      <c r="D1757" s="6">
        <f t="shared" si="162"/>
        <v>-2.3354323594364803E-3</v>
      </c>
      <c r="E1757" s="4">
        <f t="shared" si="163"/>
        <v>-1.0624603267987485E-3</v>
      </c>
      <c r="F1757" s="6">
        <f t="shared" si="164"/>
        <v>-1.2729720326377317E-3</v>
      </c>
      <c r="G1757" s="4">
        <f t="shared" si="167"/>
        <v>1.4173016520237587E-2</v>
      </c>
      <c r="H1757" s="4">
        <f t="shared" si="165"/>
        <v>-8.9816591324793887E-2</v>
      </c>
      <c r="I1757" s="4">
        <f t="shared" si="166"/>
        <v>-0.92297204324327509</v>
      </c>
    </row>
    <row r="1758" spans="1:9" x14ac:dyDescent="0.25">
      <c r="A1758" s="3">
        <v>42726</v>
      </c>
      <c r="B1758" s="4" t="s">
        <v>0</v>
      </c>
      <c r="C1758" s="4">
        <v>791.26000999999997</v>
      </c>
      <c r="D1758" s="6">
        <f t="shared" si="162"/>
        <v>-4.1532269536679912E-3</v>
      </c>
      <c r="E1758" s="4">
        <f t="shared" si="163"/>
        <v>2.3852347189110457E-3</v>
      </c>
      <c r="F1758" s="6">
        <f t="shared" si="164"/>
        <v>-6.5384616725790365E-3</v>
      </c>
      <c r="G1758" s="4">
        <f t="shared" si="167"/>
        <v>7.9744333436377011E-3</v>
      </c>
      <c r="H1758" s="4">
        <f t="shared" si="165"/>
        <v>-0.81992806144597896</v>
      </c>
      <c r="I1758" s="4">
        <f t="shared" si="166"/>
        <v>-1.2550795461779531</v>
      </c>
    </row>
    <row r="1759" spans="1:9" x14ac:dyDescent="0.25">
      <c r="A1759" s="3">
        <v>42727</v>
      </c>
      <c r="B1759" s="4" t="s">
        <v>0</v>
      </c>
      <c r="C1759" s="4">
        <v>789.90997300000004</v>
      </c>
      <c r="D1759" s="6">
        <f t="shared" si="162"/>
        <v>-1.7061863141547232E-3</v>
      </c>
      <c r="E1759" s="4">
        <f t="shared" si="163"/>
        <v>-3.6825218206079061E-5</v>
      </c>
      <c r="F1759" s="6">
        <f t="shared" si="164"/>
        <v>-1.6693610959486443E-3</v>
      </c>
      <c r="G1759" s="4">
        <f t="shared" si="167"/>
        <v>2.8784639110642763E-2</v>
      </c>
      <c r="H1759" s="4">
        <f t="shared" si="165"/>
        <v>-5.7994859325209286E-2</v>
      </c>
      <c r="I1759" s="4">
        <f t="shared" si="166"/>
        <v>-0.92062023505874813</v>
      </c>
    </row>
    <row r="1760" spans="1:9" x14ac:dyDescent="0.25">
      <c r="A1760" s="3">
        <v>42731</v>
      </c>
      <c r="B1760" s="4" t="s">
        <v>0</v>
      </c>
      <c r="C1760" s="4">
        <v>791.54998799999998</v>
      </c>
      <c r="D1760" s="6">
        <f t="shared" si="162"/>
        <v>2.0762049550676434E-3</v>
      </c>
      <c r="E1760" s="4">
        <f t="shared" si="163"/>
        <v>-2.3029577990734433E-3</v>
      </c>
      <c r="F1760" s="6">
        <f t="shared" si="164"/>
        <v>4.3791627541410871E-3</v>
      </c>
      <c r="G1760" s="4">
        <f t="shared" si="167"/>
        <v>1.2227054666810136E-2</v>
      </c>
      <c r="H1760" s="4">
        <f t="shared" si="165"/>
        <v>0.35815352703281467</v>
      </c>
      <c r="I1760" s="4">
        <f t="shared" si="166"/>
        <v>-0.98307550766769525</v>
      </c>
    </row>
    <row r="1761" spans="1:9" x14ac:dyDescent="0.25">
      <c r="A1761" s="3">
        <v>42732</v>
      </c>
      <c r="B1761" s="4" t="s">
        <v>0</v>
      </c>
      <c r="C1761" s="4">
        <v>785.04998799999998</v>
      </c>
      <c r="D1761" s="6">
        <f t="shared" si="162"/>
        <v>-8.2117365909176159E-3</v>
      </c>
      <c r="E1761" s="4">
        <f t="shared" si="163"/>
        <v>-1.9241329862181662E-3</v>
      </c>
      <c r="F1761" s="6">
        <f t="shared" si="164"/>
        <v>-6.2876036046994495E-3</v>
      </c>
      <c r="G1761" s="4">
        <f t="shared" si="167"/>
        <v>1.4077136819149565E-2</v>
      </c>
      <c r="H1761" s="4">
        <f t="shared" si="165"/>
        <v>-0.44665358342942491</v>
      </c>
      <c r="I1761" s="4">
        <f t="shared" si="166"/>
        <v>-1.0186882449998458</v>
      </c>
    </row>
    <row r="1762" spans="1:9" x14ac:dyDescent="0.25">
      <c r="A1762" s="3">
        <v>42733</v>
      </c>
      <c r="B1762" s="4" t="s">
        <v>0</v>
      </c>
      <c r="C1762" s="4">
        <v>782.78997800000002</v>
      </c>
      <c r="D1762" s="6">
        <f t="shared" si="162"/>
        <v>-2.878810310866428E-3</v>
      </c>
      <c r="E1762" s="4">
        <f t="shared" si="163"/>
        <v>2.7100243612024008E-4</v>
      </c>
      <c r="F1762" s="6">
        <f t="shared" si="164"/>
        <v>-3.1498127469866679E-3</v>
      </c>
      <c r="G1762" s="4">
        <f t="shared" si="167"/>
        <v>1.7012691477425203E-2</v>
      </c>
      <c r="H1762" s="4">
        <f t="shared" si="165"/>
        <v>-0.18514488146489202</v>
      </c>
      <c r="I1762" s="4">
        <f t="shared" si="166"/>
        <v>-0.93607784677099715</v>
      </c>
    </row>
    <row r="1763" spans="1:9" x14ac:dyDescent="0.25">
      <c r="A1763" s="3">
        <v>42734</v>
      </c>
      <c r="B1763" s="4" t="s">
        <v>0</v>
      </c>
      <c r="C1763" s="4">
        <v>771.82000700000003</v>
      </c>
      <c r="D1763" s="6">
        <f t="shared" si="162"/>
        <v>-1.4013938998079491E-2</v>
      </c>
      <c r="E1763" s="4">
        <f t="shared" si="163"/>
        <v>-2.5033914522594549E-3</v>
      </c>
      <c r="F1763" s="6">
        <f t="shared" si="164"/>
        <v>-1.1510547545820036E-2</v>
      </c>
      <c r="G1763" s="4">
        <f t="shared" si="167"/>
        <v>1.0366935715069508E-2</v>
      </c>
      <c r="H1763" s="4">
        <f t="shared" si="165"/>
        <v>-1.1103133907822116</v>
      </c>
      <c r="I1763" s="4">
        <f t="shared" si="166"/>
        <v>-1.5353364460798187</v>
      </c>
    </row>
    <row r="1764" spans="1:9" x14ac:dyDescent="0.25">
      <c r="E1764" s="8"/>
      <c r="F1764" s="6"/>
      <c r="G1764" s="4"/>
      <c r="H1764" s="4"/>
    </row>
  </sheetData>
  <dataConsolidate/>
  <pageMargins left="0.7" right="0.7" top="0.75" bottom="0.75" header="0.3" footer="0.3"/>
  <pageSetup paperSize="9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GARCH.ARGARCH">
                <anchor moveWithCells="1" sizeWithCells="1">
                  <from>
                    <xdr:col>11</xdr:col>
                    <xdr:colOff>390525</xdr:colOff>
                    <xdr:row>5</xdr:row>
                    <xdr:rowOff>104775</xdr:rowOff>
                  </from>
                  <to>
                    <xdr:col>12</xdr:col>
                    <xdr:colOff>752475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1">
                <anchor moveWithCells="1" sizeWithCells="1">
                  <from>
                    <xdr:col>11</xdr:col>
                    <xdr:colOff>381000</xdr:colOff>
                    <xdr:row>23</xdr:row>
                    <xdr:rowOff>95250</xdr:rowOff>
                  </from>
                  <to>
                    <xdr:col>12</xdr:col>
                    <xdr:colOff>752475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mathis guenet</cp:lastModifiedBy>
  <dcterms:created xsi:type="dcterms:W3CDTF">2020-10-30T13:31:26Z</dcterms:created>
  <dcterms:modified xsi:type="dcterms:W3CDTF">2021-01-19T14:18:41Z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faff1838-9a5c-45a5-992c-5c037ba3ae37</vt:lpwstr>
  </property>
</Properties>
</file>